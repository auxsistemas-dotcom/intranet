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omina\Desktop\angie\2026\COMISIONES\6. JUNIO\"/>
    </mc:Choice>
  </mc:AlternateContent>
  <xr:revisionPtr revIDLastSave="0" documentId="13_ncr:1_{C7056B8F-F125-4C8E-80E6-7FBB88845DC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D" sheetId="1" state="hidden" r:id="rId1"/>
    <sheet name="TD." sheetId="2" r:id="rId2"/>
    <sheet name="Worksheet" sheetId="3" r:id="rId3"/>
    <sheet name="COMISIONES PENDIENTES" sheetId="4" r:id="rId4"/>
  </sheets>
  <definedNames>
    <definedName name="_xlnm._FilterDatabase" localSheetId="3" hidden="1">'COMISIONES PENDIENTES'!$A$1:$AA$24</definedName>
    <definedName name="_xlnm._FilterDatabase" localSheetId="2" hidden="1">Worksheet!$A$1:$AB$247</definedName>
  </definedNames>
  <calcPr calcId="181029"/>
  <pivotCaches>
    <pivotCache cacheId="116" r:id="rId5"/>
    <pivotCache cacheId="130" r:id="rId6"/>
    <pivotCache cacheId="159" r:id="rId7"/>
  </pivotCaches>
  <extLst>
    <ext uri="GoogleSheetsCustomDataVersion2">
      <go:sheetsCustomData xmlns:go="http://customooxmlschemas.google.com/" r:id="rId11" roundtripDataChecksum="gQtaBIdl64BC5Yx7HVnuq75JOjvodKaHxBBrqJ4vTzg="/>
    </ext>
  </extLst>
</workbook>
</file>

<file path=xl/calcChain.xml><?xml version="1.0" encoding="utf-8"?>
<calcChain xmlns="http://schemas.openxmlformats.org/spreadsheetml/2006/main">
  <c r="Y66" i="3" l="1"/>
  <c r="Y203" i="3" l="1"/>
  <c r="Y178" i="3"/>
  <c r="Y62" i="3"/>
  <c r="Y61" i="3"/>
  <c r="Y18" i="3"/>
  <c r="Y3" i="3"/>
  <c r="Z24" i="4"/>
  <c r="Y24" i="4"/>
  <c r="Z23" i="4"/>
  <c r="Y23" i="4"/>
  <c r="Z22" i="4"/>
  <c r="Y22" i="4"/>
  <c r="Z21" i="4"/>
  <c r="Y21" i="4"/>
  <c r="Z20" i="4"/>
  <c r="Y20" i="4"/>
  <c r="Z19" i="4"/>
  <c r="Y19" i="4"/>
  <c r="Z18" i="4"/>
  <c r="Y18" i="4"/>
  <c r="Z17" i="4"/>
  <c r="Y17" i="4"/>
  <c r="Z16" i="4"/>
  <c r="Y16" i="4"/>
  <c r="Z15" i="4"/>
  <c r="Y15" i="4"/>
  <c r="Z14" i="4"/>
  <c r="Y14" i="4"/>
  <c r="Z13" i="4"/>
  <c r="Y13" i="4"/>
  <c r="Z12" i="4"/>
  <c r="Y12" i="4"/>
  <c r="Z11" i="4"/>
  <c r="Y11" i="4"/>
  <c r="Z10" i="4"/>
  <c r="Y10" i="4"/>
  <c r="Z9" i="4"/>
  <c r="Y9" i="4"/>
  <c r="Z8" i="4"/>
  <c r="Y8" i="4"/>
  <c r="Z7" i="4"/>
  <c r="Y7" i="4"/>
  <c r="Z6" i="4"/>
  <c r="Y6" i="4"/>
  <c r="Z5" i="4"/>
  <c r="Y5" i="4"/>
  <c r="Z4" i="4"/>
  <c r="Y4" i="4"/>
  <c r="Z3" i="4"/>
  <c r="Z2" i="4"/>
  <c r="Y2" i="4"/>
  <c r="Z247" i="3"/>
  <c r="Z246" i="3"/>
  <c r="Y246" i="3"/>
  <c r="Z245" i="3"/>
  <c r="Y245" i="3"/>
  <c r="Z244" i="3"/>
  <c r="Y244" i="3"/>
  <c r="Z243" i="3"/>
  <c r="Y243" i="3"/>
  <c r="Z242" i="3"/>
  <c r="Z241" i="3"/>
  <c r="Y241" i="3"/>
  <c r="Z240" i="3"/>
  <c r="Y240" i="3"/>
  <c r="Z239" i="3"/>
  <c r="Y239" i="3"/>
  <c r="Z238" i="3"/>
  <c r="Y238" i="3"/>
  <c r="Z237" i="3"/>
  <c r="Z236" i="3"/>
  <c r="Z235" i="3"/>
  <c r="Z234" i="3"/>
  <c r="Z233" i="3"/>
  <c r="Y233" i="3"/>
  <c r="Z232" i="3"/>
  <c r="Z231" i="3"/>
  <c r="Y231" i="3"/>
  <c r="X230" i="3"/>
  <c r="Z230" i="3" s="1"/>
  <c r="Z229" i="3"/>
  <c r="Y229" i="3"/>
  <c r="Z228" i="3"/>
  <c r="Y228" i="3"/>
  <c r="Z227" i="3"/>
  <c r="Y227" i="3"/>
  <c r="Z226" i="3"/>
  <c r="Y226" i="3"/>
  <c r="Z225" i="3"/>
  <c r="Z224" i="3"/>
  <c r="Y224" i="3"/>
  <c r="Z223" i="3"/>
  <c r="Z222" i="3"/>
  <c r="Z221" i="3"/>
  <c r="Y221" i="3"/>
  <c r="Z220" i="3"/>
  <c r="Y220" i="3"/>
  <c r="Z219" i="3"/>
  <c r="Y219" i="3"/>
  <c r="Z218" i="3"/>
  <c r="Y218" i="3"/>
  <c r="Z217" i="3"/>
  <c r="Z216" i="3"/>
  <c r="Y216" i="3"/>
  <c r="Z215" i="3"/>
  <c r="Z214" i="3"/>
  <c r="Z213" i="3"/>
  <c r="Z212" i="3"/>
  <c r="Z211" i="3"/>
  <c r="Y211" i="3"/>
  <c r="Z210" i="3"/>
  <c r="Y210" i="3"/>
  <c r="Z209" i="3"/>
  <c r="Y209" i="3"/>
  <c r="Z208" i="3"/>
  <c r="Y208" i="3"/>
  <c r="Z207" i="3"/>
  <c r="Y207" i="3"/>
  <c r="Z206" i="3"/>
  <c r="Z205" i="3"/>
  <c r="Y205" i="3"/>
  <c r="Z204" i="3"/>
  <c r="Y204" i="3"/>
  <c r="Z203" i="3"/>
  <c r="Z202" i="3"/>
  <c r="Z201" i="3"/>
  <c r="Y201" i="3"/>
  <c r="Z200" i="3"/>
  <c r="Y200" i="3"/>
  <c r="Z199" i="3"/>
  <c r="Y199" i="3"/>
  <c r="Z198" i="3"/>
  <c r="Y198" i="3"/>
  <c r="Z197" i="3"/>
  <c r="Y197" i="3"/>
  <c r="Z196" i="3"/>
  <c r="Y196" i="3"/>
  <c r="Z195" i="3"/>
  <c r="Z194" i="3"/>
  <c r="Y194" i="3"/>
  <c r="Z193" i="3"/>
  <c r="Z192" i="3"/>
  <c r="Y192" i="3"/>
  <c r="Z191" i="3"/>
  <c r="X190" i="3"/>
  <c r="Y190" i="3" s="1"/>
  <c r="Z189" i="3"/>
  <c r="Y189" i="3"/>
  <c r="Z188" i="3"/>
  <c r="Z187" i="3"/>
  <c r="Z186" i="3"/>
  <c r="Z185" i="3"/>
  <c r="Y185" i="3"/>
  <c r="Z184" i="3"/>
  <c r="Y184" i="3"/>
  <c r="Z183" i="3"/>
  <c r="Y183" i="3"/>
  <c r="Z182" i="3"/>
  <c r="Y182" i="3"/>
  <c r="Z181" i="3"/>
  <c r="Y181" i="3"/>
  <c r="Z180" i="3"/>
  <c r="Z179" i="3"/>
  <c r="Y179" i="3"/>
  <c r="Z178" i="3"/>
  <c r="Z177" i="3"/>
  <c r="Y177" i="3"/>
  <c r="Z176" i="3"/>
  <c r="Z175" i="3"/>
  <c r="Z174" i="3"/>
  <c r="Y174" i="3"/>
  <c r="Z173" i="3"/>
  <c r="Z172" i="3"/>
  <c r="Z171" i="3"/>
  <c r="Y171" i="3"/>
  <c r="Z170" i="3"/>
  <c r="Y170" i="3"/>
  <c r="Z169" i="3"/>
  <c r="Y169" i="3"/>
  <c r="Z168" i="3"/>
  <c r="Y168" i="3"/>
  <c r="Z167" i="3"/>
  <c r="X166" i="3"/>
  <c r="Z166" i="3" s="1"/>
  <c r="X165" i="3"/>
  <c r="Z165" i="3" s="1"/>
  <c r="X164" i="3"/>
  <c r="Z164" i="3" s="1"/>
  <c r="X163" i="3"/>
  <c r="Z163" i="3" s="1"/>
  <c r="X162" i="3"/>
  <c r="Z162" i="3" s="1"/>
  <c r="Z161" i="3"/>
  <c r="Y161" i="3"/>
  <c r="Z160" i="3"/>
  <c r="Z159" i="3"/>
  <c r="Y159" i="3"/>
  <c r="Z158" i="3"/>
  <c r="Z157" i="3"/>
  <c r="Y157" i="3"/>
  <c r="Z156" i="3"/>
  <c r="Y156" i="3"/>
  <c r="Z155" i="3"/>
  <c r="Y155" i="3"/>
  <c r="Z154" i="3"/>
  <c r="Y154" i="3"/>
  <c r="Z153" i="3"/>
  <c r="Z152" i="3"/>
  <c r="Y152" i="3"/>
  <c r="Z151" i="3"/>
  <c r="Y151" i="3"/>
  <c r="Z150" i="3"/>
  <c r="Y150" i="3"/>
  <c r="Z149" i="3"/>
  <c r="Y149" i="3"/>
  <c r="Z148" i="3"/>
  <c r="Y148" i="3"/>
  <c r="Z147" i="3"/>
  <c r="Y147" i="3"/>
  <c r="Z146" i="3"/>
  <c r="Z145" i="3"/>
  <c r="Y145" i="3"/>
  <c r="Z144" i="3"/>
  <c r="Y144" i="3"/>
  <c r="Z143" i="3"/>
  <c r="Z142" i="3"/>
  <c r="Z141" i="3"/>
  <c r="Y141" i="3"/>
  <c r="Z140" i="3"/>
  <c r="Y140" i="3"/>
  <c r="Z139" i="3"/>
  <c r="Y139" i="3"/>
  <c r="Z138" i="3"/>
  <c r="Y138" i="3"/>
  <c r="Z137" i="3"/>
  <c r="Y137" i="3"/>
  <c r="Z136" i="3"/>
  <c r="Z135" i="3"/>
  <c r="Y135" i="3"/>
  <c r="Z134" i="3"/>
  <c r="Y134" i="3"/>
  <c r="Z133" i="3"/>
  <c r="Y133" i="3"/>
  <c r="Z132" i="3"/>
  <c r="Y132" i="3"/>
  <c r="Z131" i="3"/>
  <c r="Y131" i="3"/>
  <c r="Z130" i="3"/>
  <c r="Z129" i="3"/>
  <c r="Z128" i="3"/>
  <c r="Y128" i="3"/>
  <c r="Z127" i="3"/>
  <c r="Y127" i="3"/>
  <c r="Z126" i="3"/>
  <c r="Z125" i="3"/>
  <c r="Y125" i="3"/>
  <c r="Z124" i="3"/>
  <c r="Y124" i="3"/>
  <c r="X123" i="3"/>
  <c r="Y123" i="3" s="1"/>
  <c r="X122" i="3"/>
  <c r="Z122" i="3" s="1"/>
  <c r="X121" i="3"/>
  <c r="Z121" i="3" s="1"/>
  <c r="X120" i="3"/>
  <c r="Z120" i="3" s="1"/>
  <c r="X119" i="3"/>
  <c r="Y119" i="3" s="1"/>
  <c r="X118" i="3"/>
  <c r="Z118" i="3" s="1"/>
  <c r="X117" i="3"/>
  <c r="Z117" i="3" s="1"/>
  <c r="X116" i="3"/>
  <c r="Z116" i="3" s="1"/>
  <c r="Z115" i="3"/>
  <c r="Y115" i="3"/>
  <c r="Z114" i="3"/>
  <c r="Y114" i="3"/>
  <c r="Z113" i="3"/>
  <c r="Y113" i="3"/>
  <c r="Z112" i="3"/>
  <c r="Y112" i="3"/>
  <c r="Z111" i="3"/>
  <c r="Y111" i="3"/>
  <c r="Z110" i="3"/>
  <c r="Y110" i="3"/>
  <c r="Z109" i="3"/>
  <c r="Y109" i="3"/>
  <c r="Z108" i="3"/>
  <c r="Z107" i="3"/>
  <c r="Z106" i="3"/>
  <c r="Z105" i="3"/>
  <c r="Y105" i="3"/>
  <c r="Z104" i="3"/>
  <c r="Z103" i="3"/>
  <c r="Y103" i="3"/>
  <c r="X102" i="3"/>
  <c r="Z102" i="3" s="1"/>
  <c r="X101" i="3"/>
  <c r="Y101" i="3" s="1"/>
  <c r="X100" i="3"/>
  <c r="Z100" i="3" s="1"/>
  <c r="X99" i="3"/>
  <c r="Z99" i="3" s="1"/>
  <c r="X98" i="3"/>
  <c r="Z98" i="3" s="1"/>
  <c r="X97" i="3"/>
  <c r="Y97" i="3" s="1"/>
  <c r="Z96" i="3"/>
  <c r="Y96" i="3"/>
  <c r="Z95" i="3"/>
  <c r="Y95" i="3"/>
  <c r="Z94" i="3"/>
  <c r="Y94" i="3"/>
  <c r="X93" i="3"/>
  <c r="Z93" i="3" s="1"/>
  <c r="X92" i="3"/>
  <c r="Z92" i="3" s="1"/>
  <c r="X91" i="3"/>
  <c r="Z91" i="3" s="1"/>
  <c r="X90" i="3"/>
  <c r="Z90" i="3" s="1"/>
  <c r="X89" i="3"/>
  <c r="Z89" i="3" s="1"/>
  <c r="X88" i="3"/>
  <c r="Z88" i="3" s="1"/>
  <c r="X87" i="3"/>
  <c r="Z87" i="3" s="1"/>
  <c r="Z86" i="3"/>
  <c r="Y86" i="3"/>
  <c r="Z85" i="3"/>
  <c r="Y85" i="3"/>
  <c r="Z84" i="3"/>
  <c r="Z83" i="3"/>
  <c r="Y83" i="3"/>
  <c r="Z82" i="3"/>
  <c r="Y82" i="3"/>
  <c r="Z81" i="3"/>
  <c r="Y81" i="3"/>
  <c r="Z80" i="3"/>
  <c r="Y80" i="3"/>
  <c r="Z79" i="3"/>
  <c r="Y79" i="3"/>
  <c r="Z78" i="3"/>
  <c r="Y78" i="3"/>
  <c r="Z77" i="3"/>
  <c r="Y77" i="3"/>
  <c r="Z76" i="3"/>
  <c r="X75" i="3"/>
  <c r="Z75" i="3" s="1"/>
  <c r="X74" i="3"/>
  <c r="Z74" i="3" s="1"/>
  <c r="X73" i="3"/>
  <c r="Y73" i="3" s="1"/>
  <c r="X72" i="3"/>
  <c r="Z72" i="3" s="1"/>
  <c r="X71" i="3"/>
  <c r="Z71" i="3" s="1"/>
  <c r="X70" i="3"/>
  <c r="Z70" i="3" s="1"/>
  <c r="X69" i="3"/>
  <c r="Z69" i="3" s="1"/>
  <c r="X68" i="3"/>
  <c r="Z68" i="3" s="1"/>
  <c r="Z67" i="3"/>
  <c r="Y67" i="3"/>
  <c r="Z66" i="3"/>
  <c r="Z65" i="3"/>
  <c r="Y65" i="3"/>
  <c r="Z64" i="3"/>
  <c r="Y64" i="3"/>
  <c r="Z63" i="3"/>
  <c r="Y63" i="3"/>
  <c r="Z62" i="3"/>
  <c r="Z61" i="3"/>
  <c r="Z60" i="3"/>
  <c r="Y60" i="3"/>
  <c r="Z59" i="3"/>
  <c r="Z58" i="3"/>
  <c r="Y58" i="3"/>
  <c r="X57" i="3"/>
  <c r="Z57" i="3" s="1"/>
  <c r="X56" i="3"/>
  <c r="Z56" i="3" s="1"/>
  <c r="X55" i="3"/>
  <c r="Z55" i="3" s="1"/>
  <c r="X54" i="3"/>
  <c r="Z54" i="3" s="1"/>
  <c r="X53" i="3"/>
  <c r="Z53" i="3" s="1"/>
  <c r="Z52" i="3"/>
  <c r="Y52" i="3"/>
  <c r="Z51" i="3"/>
  <c r="Y51" i="3"/>
  <c r="Z50" i="3"/>
  <c r="Z49" i="3"/>
  <c r="Y49" i="3"/>
  <c r="Z48" i="3"/>
  <c r="Z47" i="3"/>
  <c r="Z46" i="3"/>
  <c r="Z45" i="3"/>
  <c r="Z44" i="3"/>
  <c r="Z43" i="3"/>
  <c r="Y43" i="3"/>
  <c r="Z42" i="3"/>
  <c r="Z41" i="3"/>
  <c r="Z40" i="3"/>
  <c r="Y40" i="3"/>
  <c r="Z39" i="3"/>
  <c r="Z38" i="3"/>
  <c r="Z37" i="3"/>
  <c r="Y37" i="3"/>
  <c r="Z36" i="3"/>
  <c r="Y36" i="3"/>
  <c r="Z35" i="3"/>
  <c r="Z34" i="3"/>
  <c r="Y34" i="3"/>
  <c r="Z33" i="3"/>
  <c r="Y33" i="3"/>
  <c r="Z32" i="3"/>
  <c r="Y32" i="3"/>
  <c r="Z31" i="3"/>
  <c r="Z30" i="3"/>
  <c r="Z29" i="3"/>
  <c r="Z28" i="3"/>
  <c r="Y28" i="3"/>
  <c r="Z27" i="3"/>
  <c r="Y27" i="3"/>
  <c r="Z26" i="3"/>
  <c r="Y26" i="3"/>
  <c r="Z25" i="3"/>
  <c r="Y25" i="3"/>
  <c r="Z24" i="3"/>
  <c r="Y24" i="3"/>
  <c r="Z23" i="3"/>
  <c r="Y23" i="3"/>
  <c r="Z22" i="3"/>
  <c r="Z21" i="3"/>
  <c r="Z20" i="3"/>
  <c r="Y20" i="3"/>
  <c r="Z19" i="3"/>
  <c r="Z18" i="3"/>
  <c r="Z17" i="3"/>
  <c r="Y17" i="3"/>
  <c r="Z16" i="3"/>
  <c r="Y16" i="3"/>
  <c r="Z15" i="3"/>
  <c r="Y15" i="3"/>
  <c r="Z14" i="3"/>
  <c r="Y14" i="3"/>
  <c r="Z13" i="3"/>
  <c r="Y13" i="3"/>
  <c r="Z12" i="3"/>
  <c r="Y12" i="3"/>
  <c r="Z11" i="3"/>
  <c r="Z10" i="3"/>
  <c r="Y10" i="3"/>
  <c r="Z9" i="3"/>
  <c r="Y9" i="3"/>
  <c r="Z8" i="3"/>
  <c r="Y8" i="3"/>
  <c r="Z7" i="3"/>
  <c r="Z6" i="3"/>
  <c r="Y6" i="3"/>
  <c r="Z5" i="3"/>
  <c r="Y5" i="3"/>
  <c r="Z4" i="3"/>
  <c r="Z3" i="3"/>
  <c r="Z2" i="3"/>
  <c r="Y2" i="3"/>
  <c r="Y120" i="3" l="1"/>
  <c r="Y56" i="3"/>
  <c r="Y93" i="3"/>
  <c r="Z119" i="3"/>
  <c r="Y116" i="3"/>
  <c r="Y118" i="3"/>
  <c r="Y166" i="3"/>
  <c r="Y164" i="3"/>
  <c r="Y98" i="3"/>
  <c r="Y163" i="3"/>
  <c r="Z101" i="3"/>
  <c r="Z190" i="3"/>
  <c r="Y68" i="3"/>
  <c r="Y87" i="3"/>
  <c r="Y92" i="3"/>
  <c r="Y72" i="3"/>
  <c r="Z73" i="3"/>
  <c r="Y75" i="3"/>
  <c r="Y89" i="3"/>
  <c r="Z97" i="3"/>
  <c r="Y102" i="3"/>
  <c r="Y122" i="3"/>
  <c r="Z123" i="3"/>
  <c r="Y230" i="3"/>
</calcChain>
</file>

<file path=xl/sharedStrings.xml><?xml version="1.0" encoding="utf-8"?>
<sst xmlns="http://schemas.openxmlformats.org/spreadsheetml/2006/main" count="5059" uniqueCount="1137">
  <si>
    <t>Concesionario</t>
  </si>
  <si>
    <t>Promedio de % Comision</t>
  </si>
  <si>
    <t>ARMENIA</t>
  </si>
  <si>
    <t>ARMENIA HONDA</t>
  </si>
  <si>
    <t>CARTAGO</t>
  </si>
  <si>
    <t>DORADA</t>
  </si>
  <si>
    <t>MANIZALES</t>
  </si>
  <si>
    <t>MANIZALES HONDA</t>
  </si>
  <si>
    <t>PEREIRA</t>
  </si>
  <si>
    <t>PEREIRA FAW</t>
  </si>
  <si>
    <t>PEREIRA HONDA</t>
  </si>
  <si>
    <t>PEREIRA LA 17</t>
  </si>
  <si>
    <t>RESULTADOS</t>
  </si>
  <si>
    <t>MATRICULAS DEL 01  AL 31 DE MAYO 2026</t>
  </si>
  <si>
    <t>FECHA DE PAGO</t>
  </si>
  <si>
    <t>JUNIO  15 2026</t>
  </si>
  <si>
    <t>Vendedor</t>
  </si>
  <si>
    <t>Modelo</t>
  </si>
  <si>
    <t>Cliente</t>
  </si>
  <si>
    <t>Suma de Comision Real</t>
  </si>
  <si>
    <t>ALVARO ANDRES LUGO ALONSO</t>
  </si>
  <si>
    <t>K3 CROSS GT LINE</t>
  </si>
  <si>
    <t>BELTRAN GALINDO LAURA VANESSA</t>
  </si>
  <si>
    <t>FERNANDEZ RINCON CARMEN AYDE</t>
  </si>
  <si>
    <t>PINEDA BELTRAN LUISA FERNANDA</t>
  </si>
  <si>
    <t>K3 GT LINE</t>
  </si>
  <si>
    <t>MALDONADO CHICA LUIS FERNANDO</t>
  </si>
  <si>
    <t>PICANTO VIBRANT</t>
  </si>
  <si>
    <t>ARIAS CASTAÑO MANUELA</t>
  </si>
  <si>
    <t>TENJO RAMIREZ ANGUIE KATHERIN</t>
  </si>
  <si>
    <t>SPORTAGE VIBRANT</t>
  </si>
  <si>
    <t>MANCILLA MARTINEZ LILIANA</t>
  </si>
  <si>
    <t>STONIC VIBRANT</t>
  </si>
  <si>
    <t>MURILLO RODRIGUEZ JHENNY</t>
  </si>
  <si>
    <t>Total ALVARO ANDRES LUGO ALONSO</t>
  </si>
  <si>
    <t>GUSTAVO ADOLFO RAMIREZ BECERRA</t>
  </si>
  <si>
    <t>K3 ZENITH</t>
  </si>
  <si>
    <t>BERNAL CARDONA FACUNDO IGNACIO</t>
  </si>
  <si>
    <t>SAAVEDRA SUAREZ MARIA DEL PILAR</t>
  </si>
  <si>
    <t>TOBON BUITRAGO VALENTINA</t>
  </si>
  <si>
    <t>SAAVEDRA LOPEZ STEPHANIE</t>
  </si>
  <si>
    <t>Total GUSTAVO ADOLFO RAMIREZ BECERRA</t>
  </si>
  <si>
    <t>JAIME ALBERTO OSPINA</t>
  </si>
  <si>
    <t>PICANTO ZENITH MT</t>
  </si>
  <si>
    <t>PRADA ALVARO</t>
  </si>
  <si>
    <t>SONET VIBRANT MT</t>
  </si>
  <si>
    <t>HIDALGO ARCILA JOHANNA ANDREA</t>
  </si>
  <si>
    <t>Total JAIME ALBERTO OSPINA</t>
  </si>
  <si>
    <t>JOHAN SEBASTIAN BENITO MURCIA</t>
  </si>
  <si>
    <t>K3 CROSS VIBRANT</t>
  </si>
  <si>
    <t>LARA VALENCIA LEIDY MARCELA</t>
  </si>
  <si>
    <t>K3 CROSS VIBRANT MT</t>
  </si>
  <si>
    <t>BENAVIDES GOMEZ JUAN DAVID</t>
  </si>
  <si>
    <t>GARCIA PINO PAULA ANDREA</t>
  </si>
  <si>
    <t>LADINO LONDOÑO MARIA DEL PILAR</t>
  </si>
  <si>
    <t>TABORDA OROZCO MARTHA LILIANA</t>
  </si>
  <si>
    <t>GARCIA MORALES JAMES ANDRES</t>
  </si>
  <si>
    <t>HIGUERA ZARAZA JHON MILLER</t>
  </si>
  <si>
    <t>SONET VIBRANT</t>
  </si>
  <si>
    <t>TAPIA GUERRERO JULIO CESAR</t>
  </si>
  <si>
    <t>Total JOHAN SEBASTIAN BENITO MURCIA</t>
  </si>
  <si>
    <t>PIEDAD NATALIA VILLEGAS CAMPO</t>
  </si>
  <si>
    <t>PALACIO MERCADO MAYKELLY</t>
  </si>
  <si>
    <t>VALENCIA JAIMES SINDY TATIANA</t>
  </si>
  <si>
    <t>BERNAL GALLEGO FERNEY</t>
  </si>
  <si>
    <t>GRANADOS MEZA JORGE ALBERTO</t>
  </si>
  <si>
    <t>K3 CROSS ZENITH</t>
  </si>
  <si>
    <t>ROJAS QUINTERO JUAN DIEGO</t>
  </si>
  <si>
    <t>NIRO ZENITH</t>
  </si>
  <si>
    <t>HERNANDEZ CERON JOSE VICENTE</t>
  </si>
  <si>
    <t>MARULANDA VALENCIA JOSE ALBEIRO</t>
  </si>
  <si>
    <t>SANCHEZ VARGAS LYDY YOVANA</t>
  </si>
  <si>
    <t>GOMEZ LOPEZ MIRIAM</t>
  </si>
  <si>
    <t>GRAJALES ROJAS PAOLA ANDREA</t>
  </si>
  <si>
    <t>MARTINEZ ECHEVERRY DIEGO MAURICIO</t>
  </si>
  <si>
    <t>Total PIEDAD NATALIA VILLEGAS CAMPO</t>
  </si>
  <si>
    <t>RICARDO SNEYDER MORA RUBIO</t>
  </si>
  <si>
    <t>RIASCOS VIVEROS LEONARDO</t>
  </si>
  <si>
    <t>CASTAÑO SANZ LUIS ALBERTO</t>
  </si>
  <si>
    <t>K3 DESIRE</t>
  </si>
  <si>
    <t>RODRIGUEZ RESTREPO GIULIANO</t>
  </si>
  <si>
    <t>LEOPARDO METAUTE NOE</t>
  </si>
  <si>
    <t>CARMONA ORTEGA LUZ ADRIANA</t>
  </si>
  <si>
    <t>COLORADO PAMPLONA FABIAN ARLEY</t>
  </si>
  <si>
    <t>Total RICARDO SNEYDER MORA RUBIO</t>
  </si>
  <si>
    <t>Total ARMENIA</t>
  </si>
  <si>
    <t>SANTIAGO ALZATE LEZCANO</t>
  </si>
  <si>
    <t>HR-V EXL-A</t>
  </si>
  <si>
    <t>ECHEVERRY CASTRILLON LIBARDO LEON</t>
  </si>
  <si>
    <t>WR-V EXL-A CVT</t>
  </si>
  <si>
    <t>BEDOYA GALLEGO LUZ ELENA</t>
  </si>
  <si>
    <t>MEDINA DELGADILLO ANGELA BEATRIZ</t>
  </si>
  <si>
    <t>Total SANTIAGO ALZATE LEZCANO</t>
  </si>
  <si>
    <t>Total ARMENIA HONDA</t>
  </si>
  <si>
    <t>ANDRES FELIPE RODRIGUEZ LONDOÑO</t>
  </si>
  <si>
    <t>GARZON SANZ WILMER</t>
  </si>
  <si>
    <t>VALDERRAMA GUTIERREZ DARWIN HAMITH</t>
  </si>
  <si>
    <t>K3 VIBRANT</t>
  </si>
  <si>
    <t>GRAJALES CARDONA JHOAN SEBASTIAN</t>
  </si>
  <si>
    <t>BUITRAGO NOREÑA CHRISTIAN MAURICIO</t>
  </si>
  <si>
    <t>MONTES CHAURA JULIO CESAR</t>
  </si>
  <si>
    <t>SPORTAGE ZENITH</t>
  </si>
  <si>
    <t>SALCEDO PENILLA LUIS GUILLERMO</t>
  </si>
  <si>
    <t>STONIC DESIRE</t>
  </si>
  <si>
    <t>ISAZA GONZALEZ JORGE ARMANDO</t>
  </si>
  <si>
    <t>VALENCIA SANCHEZ NATALIA</t>
  </si>
  <si>
    <t>Total ANDRES FELIPE RODRIGUEZ LONDOÑO</t>
  </si>
  <si>
    <t>ANDRES MAURICIO RAMIREZ MONTAÑO</t>
  </si>
  <si>
    <t>SONET ZENITH</t>
  </si>
  <si>
    <t>RODRIGUEZ IBAÑEZ MIGUEL ANGEL</t>
  </si>
  <si>
    <t>Total ANDRES MAURICIO RAMIREZ MONTAÑO</t>
  </si>
  <si>
    <t>LISA MARIA LONDOÑO BOLIVAR</t>
  </si>
  <si>
    <t>SANCHEZ GONZALES SANDRA YAMILE</t>
  </si>
  <si>
    <t>AGUIRRE DAVALOS WILLIAM</t>
  </si>
  <si>
    <t>OCAMPO GOMEZ LINA VANESSA</t>
  </si>
  <si>
    <t>Total LISA MARIA LONDOÑO BOLIVAR</t>
  </si>
  <si>
    <t>SERGIO ALEXANDER CASIERRA MARTINEZ</t>
  </si>
  <si>
    <t>GONZALEZ HERRERA SANDRA JANETH</t>
  </si>
  <si>
    <t>RAMOS TORO ANGELICA MARIA</t>
  </si>
  <si>
    <t>Total SERGIO ALEXANDER CASIERRA MARTINEZ</t>
  </si>
  <si>
    <t>Total CARTAGO</t>
  </si>
  <si>
    <t>CRISTIAN CAMILO CHAPARRO PERDOMO</t>
  </si>
  <si>
    <t>ROA SAAVEDRA MIGUEL LEONARDO</t>
  </si>
  <si>
    <t>RODRIGUEZ SALAZAR MARCELO</t>
  </si>
  <si>
    <t>HENAO BEDOYA MILI JOHANA</t>
  </si>
  <si>
    <t>ESCOBAR ESCOBAR LINA PAOLA</t>
  </si>
  <si>
    <t>HOSPITAL DE ALTA COMPLEJIDAD DEL MAGDALENA MEDIO SAS</t>
  </si>
  <si>
    <t>SANDINO LOPEZ ANGELICA</t>
  </si>
  <si>
    <t>VALENCIA BONILLA DIANA CAROLINA</t>
  </si>
  <si>
    <t>RICO RODRIGUEZ LUCIO</t>
  </si>
  <si>
    <t>DIAZ QUINTERO LINA LICETH</t>
  </si>
  <si>
    <t>ANGEL ZULUAGA YURY</t>
  </si>
  <si>
    <t>Total CRISTIAN CAMILO CHAPARRO PERDOMO</t>
  </si>
  <si>
    <t>SILVIA PATRICIA PINEDA CARDONA</t>
  </si>
  <si>
    <t>EKOTAXI</t>
  </si>
  <si>
    <t>GOMEZ BELTRAN URIEL DOMINGO</t>
  </si>
  <si>
    <t>ROMERO MARIA DORA</t>
  </si>
  <si>
    <t>CONTRERAS PARGA ZULY ESMERALDA</t>
  </si>
  <si>
    <t>MARTINEZ GARCIA DANIEL FELIPE</t>
  </si>
  <si>
    <t>ROA SANCHEZ LUIS ENHAWER</t>
  </si>
  <si>
    <t>URUEÑA PARADA LINA MARCELA</t>
  </si>
  <si>
    <t>SELTOS VIBRANT</t>
  </si>
  <si>
    <t>CARDONA VELASQUEZ RUTH ALEXANDRA</t>
  </si>
  <si>
    <t>PORRAS MUÑOZ NESTOR SAUL</t>
  </si>
  <si>
    <t>Total SILVIA PATRICIA PINEDA CARDONA</t>
  </si>
  <si>
    <t>STEWART ORJUELA PENAGOS</t>
  </si>
  <si>
    <t>GALVIS ALZATE LEIDY JOHANA</t>
  </si>
  <si>
    <t>GARZON MANIOS LIZETH CAMILA</t>
  </si>
  <si>
    <t>SORENTO ZENITH</t>
  </si>
  <si>
    <t>PALOMINO MEJIA ADRIANA JULIETH</t>
  </si>
  <si>
    <t>MORANTES MEDINA JOSE ALIRIO</t>
  </si>
  <si>
    <t>ANDRES HERNANDEZ PAULO</t>
  </si>
  <si>
    <t>MURILLO CASTILLO MABEL</t>
  </si>
  <si>
    <t>Total STEWART ORJUELA PENAGOS</t>
  </si>
  <si>
    <t>Total DORADA</t>
  </si>
  <si>
    <t>ANDRES GEOVANNY OSSA RESTREPO</t>
  </si>
  <si>
    <t>VARGAS DIANA CAROLINA</t>
  </si>
  <si>
    <t>DURAN ALZATE LEIDY VIVIANA</t>
  </si>
  <si>
    <t>RIOS LONDOÑO GUSTAVO ADOLFO</t>
  </si>
  <si>
    <t>SANTOFIMIO SAAVEDRA GONZALO</t>
  </si>
  <si>
    <t>TANGARIFE LOPEZ GLORIA CLEMENCIA</t>
  </si>
  <si>
    <t>Total ANDRES GEOVANNY OSSA RESTREPO</t>
  </si>
  <si>
    <t>EDGAR ALBERTO SERNA LLANO</t>
  </si>
  <si>
    <t>OCAMPO DE ECHEVERRI LILIANA</t>
  </si>
  <si>
    <t>GALVEZ ZUASNABAR EDGAR</t>
  </si>
  <si>
    <t>ARENAS PATIÑO OSCAR</t>
  </si>
  <si>
    <t>MOLINA DE GONZALEZ AMALIA</t>
  </si>
  <si>
    <t>LOPEZ AGUIRRE MARIA DE LOS ANGELES</t>
  </si>
  <si>
    <t>FELIPE PEREZ SIERRA ANDRES</t>
  </si>
  <si>
    <t>ALZATE PARRA LUIS EDILBERTO</t>
  </si>
  <si>
    <t>Total EDGAR ALBERTO SERNA LLANO</t>
  </si>
  <si>
    <t>GERMAN LLANO BOTERO</t>
  </si>
  <si>
    <t>CARDENAS VALENCIA MOISES</t>
  </si>
  <si>
    <t>CALDERON MARIA ELENA</t>
  </si>
  <si>
    <t>SERNA CARDONA ELIANA MARIA</t>
  </si>
  <si>
    <t>Total GERMAN LLANO BOTERO</t>
  </si>
  <si>
    <t>JORGE ANDRES OCAMPO GIRALDO</t>
  </si>
  <si>
    <t>LOPEZ IGLESIAS MOISES DAVID</t>
  </si>
  <si>
    <t>DAZA LINCE CAROLINA</t>
  </si>
  <si>
    <t>NIETO RIOS JOHN JAIRO</t>
  </si>
  <si>
    <t>GIRALDO CANO RAUL DE JESUS</t>
  </si>
  <si>
    <t>ARIAS CASTRO JULIAN DAVID</t>
  </si>
  <si>
    <t>GUTIERREZ GARCIA MARIA DEL SOCORRO</t>
  </si>
  <si>
    <t>Total JORGE ANDRES OCAMPO GIRALDO</t>
  </si>
  <si>
    <t>JUAN SEBASTIAN ZAMORA ARROYAVE</t>
  </si>
  <si>
    <t>CANO BEDOYA JUAN DAVID</t>
  </si>
  <si>
    <t>BOTERO SANCHEZ SEBASTIAN</t>
  </si>
  <si>
    <t>Total JUAN SEBASTIAN ZAMORA ARROYAVE</t>
  </si>
  <si>
    <t>KENNY ALEJANDRO CANO ALVAREZ</t>
  </si>
  <si>
    <t>SANCHEZ AGUIRRE ESTEFANIA</t>
  </si>
  <si>
    <t>GRISALES MARTINEZ LADY VANESSA</t>
  </si>
  <si>
    <t>PARRA CORTES JUAN DAVID</t>
  </si>
  <si>
    <t>RIVERA SALAZAR LUZ STELLA</t>
  </si>
  <si>
    <t>JIMENEZ ACEVEDO DEISY</t>
  </si>
  <si>
    <t>MEJIA DE GALVIS FLORALBA</t>
  </si>
  <si>
    <t>JARAMILLO COTE GERMAN</t>
  </si>
  <si>
    <t>JIMENEZ VELEZ LEYDI JOANA</t>
  </si>
  <si>
    <t>PAREJA CARDONA EDUIN</t>
  </si>
  <si>
    <t>Total KENNY ALEJANDRO CANO ALVAREZ</t>
  </si>
  <si>
    <t>SEBASTIAN GIRALDO PINEDA</t>
  </si>
  <si>
    <t>MAZO LOPEZ DORA LILIA</t>
  </si>
  <si>
    <t>RESTREPO GUZMAN JULIAN ANDRES</t>
  </si>
  <si>
    <t>Total SEBASTIAN GIRALDO PINEDA</t>
  </si>
  <si>
    <t>WALTER ZAPATA VASQUEZ</t>
  </si>
  <si>
    <t>FLOREZ QUINTERO JENNY SULETH</t>
  </si>
  <si>
    <t>TABARES MORALES ARIEL ANTONIO</t>
  </si>
  <si>
    <t>GONZALEZ LOPEZ LAURA</t>
  </si>
  <si>
    <t>ALBARRACIN GUZMAN LUZ ZORAIDA</t>
  </si>
  <si>
    <t>GARCIA DUQUE JHOAN FELIPE</t>
  </si>
  <si>
    <t>BETANCUR GUZMAN STHEFANIA</t>
  </si>
  <si>
    <t>GOMEZ OCAMPO HECTOR HERNAN</t>
  </si>
  <si>
    <t>MONTOYA NOREÑA JUAN PABLO</t>
  </si>
  <si>
    <t>Total WALTER ZAPATA VASQUEZ</t>
  </si>
  <si>
    <t>YEISON ESTIVEN GONZALEZ CARDONA</t>
  </si>
  <si>
    <t>GARCIA TABARES CARLOS IVAN</t>
  </si>
  <si>
    <t>MUÑOZ ROJAS ELIANA CHARLOTH</t>
  </si>
  <si>
    <t>ALVAREZ MORALES ELSA LILIANA</t>
  </si>
  <si>
    <t>ESCOBAR ESTRADA JUAN CARLOS</t>
  </si>
  <si>
    <t>BOTERO TRUJILLO JUAN JOSE</t>
  </si>
  <si>
    <t>BUITRAGO ESPINOSA ROBINSON</t>
  </si>
  <si>
    <t>ARENAS GALVIS MONICA VIVIANA</t>
  </si>
  <si>
    <t>DELGADO VALENCIA DIANA ALEJANDRA</t>
  </si>
  <si>
    <t>PARDO RINCON GERMAN RUBEN</t>
  </si>
  <si>
    <t>Total YEISON ESTIVEN GONZALEZ CARDONA</t>
  </si>
  <si>
    <t>Total MANIZALES</t>
  </si>
  <si>
    <t>ADRIANA JARAMILLO HENAO</t>
  </si>
  <si>
    <t>SOLUCIONES EFECTIVAS LYG S.A.S</t>
  </si>
  <si>
    <t>CALERO SALDARRIAGA YULIANA</t>
  </si>
  <si>
    <t>Total ADRIANA JARAMILLO HENAO</t>
  </si>
  <si>
    <t>Total MANIZALES HONDA</t>
  </si>
  <si>
    <t>CLAUDIA PATRICIA MAFLA CRUZ</t>
  </si>
  <si>
    <t>OCAMPO GIRALDO DANIEL</t>
  </si>
  <si>
    <t>MEDINA FLOREZ MARIA CAMILA</t>
  </si>
  <si>
    <t>BOTERO JIMENEZ SANDRA MILENA</t>
  </si>
  <si>
    <t>LOPEZ TARAZONA SANTIAGO</t>
  </si>
  <si>
    <t>CENTRO DE FORMACION Y CAPACITACION - CFC S.A.S</t>
  </si>
  <si>
    <t>PLATA TAMAYO DANIELA</t>
  </si>
  <si>
    <t>ALVAREZ ZAPATA VANESSA</t>
  </si>
  <si>
    <t>COLORADO CORREA WILSON EDUARDO</t>
  </si>
  <si>
    <t>Total CLAUDIA PATRICIA MAFLA CRUZ</t>
  </si>
  <si>
    <t>DIANA PAOLA BRAVO MARIN</t>
  </si>
  <si>
    <t>BEDOYA GAVIRIA JHONNY STIBENT</t>
  </si>
  <si>
    <t>MONSALVE VALENCIA CLAUDIA XIMENA</t>
  </si>
  <si>
    <t>BEDOYA NIETO DIEGO ALEJANDRO</t>
  </si>
  <si>
    <t>CORRALES GARCIA ANDRES FELIPE</t>
  </si>
  <si>
    <t>Total DIANA PAOLA BRAVO MARIN</t>
  </si>
  <si>
    <t>SEPHIA</t>
  </si>
  <si>
    <t>GIRALDO CASTRO JAIRO</t>
  </si>
  <si>
    <t>JOHAN ANDRES QUINTERO MESA</t>
  </si>
  <si>
    <t>CARDONA RAMIREZ MARGARITA</t>
  </si>
  <si>
    <t>CATAÑO OSPINA CINDY CAROLINA</t>
  </si>
  <si>
    <t>MORENO CASTIBLANCO REBEKA DEL MILAGRO</t>
  </si>
  <si>
    <t>RUA TRUJILLO TATIANA</t>
  </si>
  <si>
    <t>HERNANDEZ ZAPATA LUZ BIBIANA</t>
  </si>
  <si>
    <t>ARENAS BONILLA JUAN STEVEN</t>
  </si>
  <si>
    <t>MORALES MORALES DIDIER ALBERTO</t>
  </si>
  <si>
    <t>TORO MARULANDA LLAJAIRA ANDREA</t>
  </si>
  <si>
    <t>ARAGON AVILA CLAUDIA MARCELA</t>
  </si>
  <si>
    <t>CASTRO RODRIGUEZ JENNIFER</t>
  </si>
  <si>
    <t>ESTRADA ESQUIVEL LUCERO</t>
  </si>
  <si>
    <t>LOPEZ MARIN RODRIGO</t>
  </si>
  <si>
    <t>GOMEZ SALAZAR VALERIA</t>
  </si>
  <si>
    <t>CARDENAS ZAPATA JHONNER ANDRES</t>
  </si>
  <si>
    <t>Total JOHAN ANDRES QUINTERO MESA</t>
  </si>
  <si>
    <t>JUAN CAMILO ALZATE RENDON</t>
  </si>
  <si>
    <t>TABARES GUTIERREZ ELINPSON</t>
  </si>
  <si>
    <t>HINCAPIE VALENCIA JUAN CARLOS</t>
  </si>
  <si>
    <t>HINCAPIE ALBARRACIN ALEJANDRA MARIA</t>
  </si>
  <si>
    <t>RESTREPO DIANA JOHANA</t>
  </si>
  <si>
    <t>STONIC DESIRE MT</t>
  </si>
  <si>
    <t>GONZALEZ RAMIREZ JULIO CESAR</t>
  </si>
  <si>
    <t>Total JUAN CAMILO ALZATE RENDON</t>
  </si>
  <si>
    <t>LINA MARCELA HURTADO NARVAEZ</t>
  </si>
  <si>
    <t>LONDOÑO BALLESTEROS GLORIA NANCY</t>
  </si>
  <si>
    <t>SALAZAR HOYOS YONI EDUARDO</t>
  </si>
  <si>
    <t>SOLARTE BASANTE JOSÉ DANIEL</t>
  </si>
  <si>
    <t>ZAPATA DUQUE VIDAL ANTONIO</t>
  </si>
  <si>
    <t>ECHEVERRI POSADA LILIANA PATRICIA</t>
  </si>
  <si>
    <t>LOPEZ VILLA CARLOS DANIEL</t>
  </si>
  <si>
    <t>AGUILERA GARCIA WUILDREY KATHERINE</t>
  </si>
  <si>
    <t>GONZALEZ BETANCOURTH WENDY DANIELA</t>
  </si>
  <si>
    <t>OSPINA LOPEZ NELSON ENRIQUE</t>
  </si>
  <si>
    <t>ZULUAGA BOTINA JOHN SEBASTIAN</t>
  </si>
  <si>
    <t>MERCHAN BEDOYA CAROLINA</t>
  </si>
  <si>
    <t>RODRIGUEZ GIRALDO JUAN SEBASTIAN</t>
  </si>
  <si>
    <t>Total LINA MARCELA HURTADO NARVAEZ</t>
  </si>
  <si>
    <t>LIZANYURI FERLA ORTIZ</t>
  </si>
  <si>
    <t>OSPINA REYES ALBEIRO</t>
  </si>
  <si>
    <t>ACEVEDO GONZALEZ HUGO ARMANDO</t>
  </si>
  <si>
    <t>JARAMILLO ZULUAGA MARIA EUGENIA</t>
  </si>
  <si>
    <t>HERNANDEZ SANCHEZ DIDIMO</t>
  </si>
  <si>
    <t>URIBE RAMIREZ LUCIA VERONICA</t>
  </si>
  <si>
    <t>OROZCO TORO LEIDY DIANA</t>
  </si>
  <si>
    <t>GONZALEZ COLMENAREZ JAVIER ALEXANDER</t>
  </si>
  <si>
    <t>SANCHEZ COLORADO OSCAR</t>
  </si>
  <si>
    <t>RODRIGUEZ RAMIREZ GUILLERMO OCTAVIO</t>
  </si>
  <si>
    <t>VASQUEZ LONDOÑO JUAN MANUEL</t>
  </si>
  <si>
    <t>CARDONA CARDONA ANA MARIELA</t>
  </si>
  <si>
    <t>Total LIZANYURI FERLA ORTIZ</t>
  </si>
  <si>
    <t>MARIO ALEJANDRO GUACAS SILVESTRE</t>
  </si>
  <si>
    <t>SERNA PELAEZ CRISTIAN CAMILO</t>
  </si>
  <si>
    <t>Total MARIO ALEJANDRO GUACAS SILVESTRE</t>
  </si>
  <si>
    <t>NANCY LORENA CARRERO MARTINEZ</t>
  </si>
  <si>
    <t>AMARILES ZAMBRANO LESLIE</t>
  </si>
  <si>
    <t>LARA MURILLO SANDRA PATRICIA</t>
  </si>
  <si>
    <t>MONSALVE RAMIREZ MARIA CAMILA</t>
  </si>
  <si>
    <t>MUÑOZ GALLEGO DIANA LORENA</t>
  </si>
  <si>
    <t>SOLUTO EMOTION</t>
  </si>
  <si>
    <t>LOAIZA ARCILA JESUS OSCAR</t>
  </si>
  <si>
    <t>CARDONA BERMUDEZ ELVIA CECILIA</t>
  </si>
  <si>
    <t>AYCP CONSULTORES INTEGRADOS SAS</t>
  </si>
  <si>
    <t>VILLA TREJOS ANGELA MARIA</t>
  </si>
  <si>
    <t>Total NANCY LORENA CARRERO MARTINEZ</t>
  </si>
  <si>
    <t>SEBASTIAN GIRALDO CEBALLOS</t>
  </si>
  <si>
    <t>BETANCOURT ALZATE LUZ ADRIANA</t>
  </si>
  <si>
    <t>HENAO HENAO LAURA</t>
  </si>
  <si>
    <t>GARCIA GONZALEZ MANUELA</t>
  </si>
  <si>
    <t>TREJOS VILLANEDA ARTURO</t>
  </si>
  <si>
    <t>JARAMILLO OSPINA MANUELA</t>
  </si>
  <si>
    <t>SOTO BEDOYA DANIELA</t>
  </si>
  <si>
    <t>RAMIREZ ALZATE VICTOR JULIAN</t>
  </si>
  <si>
    <t>SALAZAR BENITEZ EDISABET</t>
  </si>
  <si>
    <t>MARIN DIAZ LINA MARIA</t>
  </si>
  <si>
    <t>Total SEBASTIAN GIRALDO CEBALLOS</t>
  </si>
  <si>
    <t>SIMON JOSE LOAIZA QUINTERO</t>
  </si>
  <si>
    <t>VIDAL SANCLEMENTE DELFINA</t>
  </si>
  <si>
    <t>MUÑOZ LOPEZ YESICA MARIA</t>
  </si>
  <si>
    <t>RANGEL BEDOYA GERSON STEVEN</t>
  </si>
  <si>
    <t>GOMEZ RAMIREZ ANDRES FELIPE</t>
  </si>
  <si>
    <t>DE LA CRUZ GONZALEZ WILBER SEGUNDO</t>
  </si>
  <si>
    <t>MOLINA AGUDELO JHONATAN</t>
  </si>
  <si>
    <t>PRADO JHON ALEXANDER</t>
  </si>
  <si>
    <t>SALINAS ARTEAGA ANDRES DAVID</t>
  </si>
  <si>
    <t>ECHAVARRIA VARGAS JAMES</t>
  </si>
  <si>
    <t>SANCHEZ FLOREZ DIANA MILENA</t>
  </si>
  <si>
    <t>MENDOZA VALENCIA SEBASTIAN FARID</t>
  </si>
  <si>
    <t>RIVERA RUIZ CYNTHIA</t>
  </si>
  <si>
    <t>CASTILLO BELTRAN JULIAN ESTEBAN</t>
  </si>
  <si>
    <t>Total SIMON JOSE LOAIZA QUINTERO</t>
  </si>
  <si>
    <t>SOL PATRICIA GUTIERREZ BOLIVAR</t>
  </si>
  <si>
    <t>VALENCIA PUPIALES JULIAN FERNANDO</t>
  </si>
  <si>
    <t>VARGAS GONZALEZ BRYAN</t>
  </si>
  <si>
    <t>GAMBA DIAZ EVELYN</t>
  </si>
  <si>
    <t>MEDINA VALENCIA ESTEFANIA</t>
  </si>
  <si>
    <t>FR INVERSORA</t>
  </si>
  <si>
    <t>HENAO CALVO WILSON</t>
  </si>
  <si>
    <t>RAMIREZ SANMIGUEL NATALIA</t>
  </si>
  <si>
    <t>HERNANDEZ GARCIA DANIEL ALBERTO</t>
  </si>
  <si>
    <t>HERRERA CARDENAS ALBA INES</t>
  </si>
  <si>
    <t>Total SOL PATRICIA GUTIERREZ BOLIVAR</t>
  </si>
  <si>
    <t>Total PEREIRA</t>
  </si>
  <si>
    <t>WKR TIGER DC 3.6</t>
  </si>
  <si>
    <t>AVILA BLANDON LUISA TATIANA</t>
  </si>
  <si>
    <t>Total PEREIRA FAW</t>
  </si>
  <si>
    <t>José Manuel Triviño Jiménez</t>
  </si>
  <si>
    <t>HURTADO RIOS PLINIO</t>
  </si>
  <si>
    <t>ILLERA SARMIENTO CAMILO</t>
  </si>
  <si>
    <t>Total José Manuel Triviño Jiménez</t>
  </si>
  <si>
    <t>LILIANA TRUJILLO GARCIA</t>
  </si>
  <si>
    <t>CR-V TOURING AWD</t>
  </si>
  <si>
    <t>ERAZO PORTILLO OMAR MARTIN</t>
  </si>
  <si>
    <t>GUTIERREZ SALAZAR JEAN PIERRE</t>
  </si>
  <si>
    <t>ARANGO VELEZ OSCAR</t>
  </si>
  <si>
    <t>GIRALDO JARAMILLO BEATRIZ ELENA</t>
  </si>
  <si>
    <t>MANRIQUE ZAMBRANO RONALD ALFREDO</t>
  </si>
  <si>
    <t>Total LILIANA TRUJILLO GARCIA</t>
  </si>
  <si>
    <t>Total PEREIRA HONDA</t>
  </si>
  <si>
    <t>ESTEBAN JARAMILLO JARAMILLO</t>
  </si>
  <si>
    <t>GRAJALES MEJIA BLANCA YEIMY</t>
  </si>
  <si>
    <t>TOVAR PAVA JUAN SEBASTIAN</t>
  </si>
  <si>
    <t>NIRO VIBRANT</t>
  </si>
  <si>
    <t>VARGAS GARCIA YHON ALEXANDER</t>
  </si>
  <si>
    <t>GALLEGO VILLEGAS MARIANA</t>
  </si>
  <si>
    <t>VARGAS ACOSTA LEONARDO</t>
  </si>
  <si>
    <t>VELASQUEZ MARIN DIANA MARIA</t>
  </si>
  <si>
    <t>URIBE PINEDA YOLANDA</t>
  </si>
  <si>
    <t>Total ESTEBAN JARAMILLO JARAMILLO</t>
  </si>
  <si>
    <t>Total PEREIRA LA 17</t>
  </si>
  <si>
    <t>Fecha Comision</t>
  </si>
  <si>
    <t>Mes</t>
  </si>
  <si>
    <t>Marca</t>
  </si>
  <si>
    <t>Cod. Vendedor</t>
  </si>
  <si>
    <t>Origen</t>
  </si>
  <si>
    <t>Referencia</t>
  </si>
  <si>
    <t>Factura</t>
  </si>
  <si>
    <t>Fecha Factura</t>
  </si>
  <si>
    <t>Fecha Entrega</t>
  </si>
  <si>
    <t>Fecha Matricula</t>
  </si>
  <si>
    <t>Matriculados</t>
  </si>
  <si>
    <t>Cod. Modelo</t>
  </si>
  <si>
    <t>VIN</t>
  </si>
  <si>
    <t>Valor Venta</t>
  </si>
  <si>
    <t>Obsequios</t>
  </si>
  <si>
    <t>Costo Total</t>
  </si>
  <si>
    <t>Costo iva</t>
  </si>
  <si>
    <t>Margen</t>
  </si>
  <si>
    <t>Saldo Pendiente</t>
  </si>
  <si>
    <t>Comision 100 %</t>
  </si>
  <si>
    <t>Comision Real</t>
  </si>
  <si>
    <t>% Comision</t>
  </si>
  <si>
    <t>Bono</t>
  </si>
  <si>
    <t>2026/05/31</t>
  </si>
  <si>
    <t>Mayo</t>
  </si>
  <si>
    <t xml:space="preserve">Kia </t>
  </si>
  <si>
    <t>VITRINA</t>
  </si>
  <si>
    <t>VKA 120689</t>
  </si>
  <si>
    <t>2026-05-14</t>
  </si>
  <si>
    <t>1970-01-01</t>
  </si>
  <si>
    <t>2026-05-29</t>
  </si>
  <si>
    <t>2027BL1A70__25G1601</t>
  </si>
  <si>
    <t>3KPFD51ABVE176785</t>
  </si>
  <si>
    <t>8%</t>
  </si>
  <si>
    <t>COMISION AL 100%</t>
  </si>
  <si>
    <t>VKA 120715</t>
  </si>
  <si>
    <t>2026-05-25</t>
  </si>
  <si>
    <t>2026-05-28</t>
  </si>
  <si>
    <t>3KPFD51ABVE196043</t>
  </si>
  <si>
    <t>9%</t>
  </si>
  <si>
    <t>VKA 120714</t>
  </si>
  <si>
    <t>3KPFD51ABVE196087</t>
  </si>
  <si>
    <t>CENTRO COMERCIAL</t>
  </si>
  <si>
    <t>VKA 120700</t>
  </si>
  <si>
    <t>2026-05-22</t>
  </si>
  <si>
    <t>2026-05-27</t>
  </si>
  <si>
    <t>2027BL1A70__24G1601</t>
  </si>
  <si>
    <t>3KPFE41ABVE181403</t>
  </si>
  <si>
    <t>6%</t>
  </si>
  <si>
    <t>VKA 120708</t>
  </si>
  <si>
    <t>2026-05-23</t>
  </si>
  <si>
    <t>2027JA3M20__25G1002</t>
  </si>
  <si>
    <t>KNAB2511AVT514181</t>
  </si>
  <si>
    <t>VKA 120709</t>
  </si>
  <si>
    <t>KNAB2511AVT514546</t>
  </si>
  <si>
    <t>VKA 120688</t>
  </si>
  <si>
    <t>2026-05-19</t>
  </si>
  <si>
    <t>2027YB2A40__25H1001</t>
  </si>
  <si>
    <t>KNAD6817GVT109829</t>
  </si>
  <si>
    <t>1%</t>
  </si>
  <si>
    <t>VKA 120686</t>
  </si>
  <si>
    <t>2026-05-13</t>
  </si>
  <si>
    <t>2026-05-20</t>
  </si>
  <si>
    <t>2027NQ2A40__25H1600</t>
  </si>
  <si>
    <t>KNAPU81GBV7364096</t>
  </si>
  <si>
    <t>VKA 120721</t>
  </si>
  <si>
    <t>2026-05-30</t>
  </si>
  <si>
    <t>2027BL1A60__24G1600</t>
  </si>
  <si>
    <t>3KPFC41ABVE183369</t>
  </si>
  <si>
    <t>VKA 120710</t>
  </si>
  <si>
    <t>KNAB2511AVT514525</t>
  </si>
  <si>
    <t>VKA 120701</t>
  </si>
  <si>
    <t>KNAB2511AVT514560</t>
  </si>
  <si>
    <t>VKA 120685</t>
  </si>
  <si>
    <t>2026-05-12</t>
  </si>
  <si>
    <t>KNAD6817GVT109589</t>
  </si>
  <si>
    <t>2%</t>
  </si>
  <si>
    <t>VKA 120695</t>
  </si>
  <si>
    <t>2026-05-21</t>
  </si>
  <si>
    <t>2026-05-26</t>
  </si>
  <si>
    <t>2027JA3M45__25G1202</t>
  </si>
  <si>
    <t>KNAB2512AVT513540</t>
  </si>
  <si>
    <t>VKA 120702</t>
  </si>
  <si>
    <t>2027QY2M35__25G1503</t>
  </si>
  <si>
    <t>LJD3BA1DAV0092709</t>
  </si>
  <si>
    <t>7%</t>
  </si>
  <si>
    <t>PLAYA DE VENTAS</t>
  </si>
  <si>
    <t>VKA 120713</t>
  </si>
  <si>
    <t>2027BL1M40__25G1600</t>
  </si>
  <si>
    <t>3KPFF51AAVE194220</t>
  </si>
  <si>
    <t>VKA 120699</t>
  </si>
  <si>
    <t>2027BL1A40__25G1600</t>
  </si>
  <si>
    <t>3KPFF51ABVE180583</t>
  </si>
  <si>
    <t>5%</t>
  </si>
  <si>
    <t>VKA 120704</t>
  </si>
  <si>
    <t>KNAB2511AVT514508</t>
  </si>
  <si>
    <t>VKA 120707</t>
  </si>
  <si>
    <t>KNAB2511AVT514588</t>
  </si>
  <si>
    <t>VKA 120705</t>
  </si>
  <si>
    <t>KNAB2511AVT514596</t>
  </si>
  <si>
    <t>CAMPAÑA CETA</t>
  </si>
  <si>
    <t>VKA 120692</t>
  </si>
  <si>
    <t>KNAB2512AVT514054</t>
  </si>
  <si>
    <t>VKA 120691</t>
  </si>
  <si>
    <t>KNAB2512AVT514056</t>
  </si>
  <si>
    <t>VKA 120673</t>
  </si>
  <si>
    <t>2026-04-22</t>
  </si>
  <si>
    <t>2027QY2A35__25G1503</t>
  </si>
  <si>
    <t>LJD3BA1DEV0090810</t>
  </si>
  <si>
    <t>VKA 120659</t>
  </si>
  <si>
    <t>2026-04-10</t>
  </si>
  <si>
    <t>2026-05-11</t>
  </si>
  <si>
    <t>2026-05-07</t>
  </si>
  <si>
    <t>3KPFD51ABVE180098</t>
  </si>
  <si>
    <t>VKA 120716</t>
  </si>
  <si>
    <t>3KPFD51ABVE196065</t>
  </si>
  <si>
    <t>VKA 120717</t>
  </si>
  <si>
    <t>3KPFF51AAVE194092</t>
  </si>
  <si>
    <t>REFERIDO</t>
  </si>
  <si>
    <t>VKA 120711</t>
  </si>
  <si>
    <t>2026-06-02</t>
  </si>
  <si>
    <t>2027BL1A60__25G1601</t>
  </si>
  <si>
    <t>3KPFF51ABVE180497</t>
  </si>
  <si>
    <t>VKA 120690</t>
  </si>
  <si>
    <t>3KPFF51ABVE181011</t>
  </si>
  <si>
    <t>VKA 120703</t>
  </si>
  <si>
    <t>KNAB2511AVT514509</t>
  </si>
  <si>
    <t>MARCA</t>
  </si>
  <si>
    <t>VKA 120696</t>
  </si>
  <si>
    <t>KNAB2511AVT514597</t>
  </si>
  <si>
    <t>VKA 120694</t>
  </si>
  <si>
    <t>KNAB2512AVT512984</t>
  </si>
  <si>
    <t>AGENCIA PUBLICIDAD</t>
  </si>
  <si>
    <t>VKA 120684</t>
  </si>
  <si>
    <t>2027SG1A62__25H1600</t>
  </si>
  <si>
    <t>KNACR81EGV5341156</t>
  </si>
  <si>
    <t>VKA 120693</t>
  </si>
  <si>
    <t>KNAPU81GBV7361593</t>
  </si>
  <si>
    <t>VKA 120720</t>
  </si>
  <si>
    <t>KNAPU81GBV7386516</t>
  </si>
  <si>
    <t>COMISION AL 50%</t>
  </si>
  <si>
    <t>CONTACTO TELEFONICO</t>
  </si>
  <si>
    <t>VKA 120712</t>
  </si>
  <si>
    <t>2027BL1M30__24G1600</t>
  </si>
  <si>
    <t>3KPFC41AAVE197238</t>
  </si>
  <si>
    <t>VKA 120719</t>
  </si>
  <si>
    <t>3KPFF51AAVE194098</t>
  </si>
  <si>
    <t>VKA 120687</t>
  </si>
  <si>
    <t>3KPFF51ABVE180506</t>
  </si>
  <si>
    <t>VKA 120706</t>
  </si>
  <si>
    <t>KNAB2511AVT514138</t>
  </si>
  <si>
    <t>FERIA AUTOMOTRIZ</t>
  </si>
  <si>
    <t>VKA 120697</t>
  </si>
  <si>
    <t>KNAB2512AVT514055</t>
  </si>
  <si>
    <t>VKA 120698</t>
  </si>
  <si>
    <t>KNAD6817GVT109475</t>
  </si>
  <si>
    <t xml:space="preserve">Honda </t>
  </si>
  <si>
    <t>VKA 120722</t>
  </si>
  <si>
    <t>2026WR-V PRESTIGE</t>
  </si>
  <si>
    <t>93HDG5840TK502724</t>
  </si>
  <si>
    <t>VKA 120718</t>
  </si>
  <si>
    <t>93HDG5840TK502796</t>
  </si>
  <si>
    <t>VKA 120683</t>
  </si>
  <si>
    <t>2026-04-30</t>
  </si>
  <si>
    <t>2026HR-V EXL PRESTIGE 2WD</t>
  </si>
  <si>
    <t>93HRV3860TK302737</t>
  </si>
  <si>
    <t>VKC 70263</t>
  </si>
  <si>
    <t>2027BL1A40__24G1600</t>
  </si>
  <si>
    <t>3KPFC41ABVE188527</t>
  </si>
  <si>
    <t>VKC 70264</t>
  </si>
  <si>
    <t>3KPFF51ABVE195336</t>
  </si>
  <si>
    <t>VKC 70267</t>
  </si>
  <si>
    <t>3KPFF51ABVE195554</t>
  </si>
  <si>
    <t>AUTOFINANCIERA</t>
  </si>
  <si>
    <t>VKC 70260</t>
  </si>
  <si>
    <t>KNAB2511AVT514510</t>
  </si>
  <si>
    <t>10%</t>
  </si>
  <si>
    <t>VKC 70259</t>
  </si>
  <si>
    <t>KNAB2511AVT514514</t>
  </si>
  <si>
    <t>EVENTOS</t>
  </si>
  <si>
    <t>VKC 70254</t>
  </si>
  <si>
    <t>2027YB2A31__25H1000</t>
  </si>
  <si>
    <t>KNADA817GVT094846</t>
  </si>
  <si>
    <t>3%</t>
  </si>
  <si>
    <t>VKC 70253</t>
  </si>
  <si>
    <t>2026-05-09</t>
  </si>
  <si>
    <t>2027YB2A31__25H1001</t>
  </si>
  <si>
    <t>KNADA817GVT105072</t>
  </si>
  <si>
    <t>12%</t>
  </si>
  <si>
    <t>VKC 70251</t>
  </si>
  <si>
    <t>2027NQ2A65__25H1601</t>
  </si>
  <si>
    <t>KNAPV81GBV7370122</t>
  </si>
  <si>
    <t>VKC 70250</t>
  </si>
  <si>
    <t>2026-04-28</t>
  </si>
  <si>
    <t>2026QY2A50__25G1500</t>
  </si>
  <si>
    <t>LJD3BA1DET0086307</t>
  </si>
  <si>
    <t>VKC 70261</t>
  </si>
  <si>
    <t>3KPFD51ABVE196019</t>
  </si>
  <si>
    <t>11%</t>
  </si>
  <si>
    <t>PAGINA WEB ARMOTOR</t>
  </si>
  <si>
    <t>VKC 70257</t>
  </si>
  <si>
    <t>KNAB2511AVT514519</t>
  </si>
  <si>
    <t>VKC 70265</t>
  </si>
  <si>
    <t>KNAD6817GVT121081</t>
  </si>
  <si>
    <t>VKC 70262</t>
  </si>
  <si>
    <t>3KPFF51ABVE195325</t>
  </si>
  <si>
    <t>VKC 70258</t>
  </si>
  <si>
    <t>KNAB2511AVT514507</t>
  </si>
  <si>
    <t>VKM 71223</t>
  </si>
  <si>
    <t>2026-05-06</t>
  </si>
  <si>
    <t>2026-05-08</t>
  </si>
  <si>
    <t>3KPFD51ABVE173742</t>
  </si>
  <si>
    <t>VKM 71277</t>
  </si>
  <si>
    <t>3KPFF51AAVE194210</t>
  </si>
  <si>
    <t>VISITA A PUEBLOS</t>
  </si>
  <si>
    <t>VKM 71225</t>
  </si>
  <si>
    <t>3KPFF51ABVE187237</t>
  </si>
  <si>
    <t>VKM 71267</t>
  </si>
  <si>
    <t>KNAB2511AVT514513</t>
  </si>
  <si>
    <t>CONVENIOS EMPRESARIALES</t>
  </si>
  <si>
    <t>VKM 71269</t>
  </si>
  <si>
    <t>KNAB2511AVT514561</t>
  </si>
  <si>
    <t>VKM 71270</t>
  </si>
  <si>
    <t>KNAB2511AVT514563</t>
  </si>
  <si>
    <t>VKM 71253</t>
  </si>
  <si>
    <t>KNAB2511AVT514850</t>
  </si>
  <si>
    <t>VKM 71262</t>
  </si>
  <si>
    <t>KNAB2512AVT514108</t>
  </si>
  <si>
    <t>VKM 71243</t>
  </si>
  <si>
    <t>KNAPU81GBV7366039</t>
  </si>
  <si>
    <t>VKM 71245</t>
  </si>
  <si>
    <t>2026-05-15</t>
  </si>
  <si>
    <t>LJD3BA1DET0086328</t>
  </si>
  <si>
    <t>VKM 71217</t>
  </si>
  <si>
    <t>3KPFF51ABVE167625</t>
  </si>
  <si>
    <t>VKM 71281</t>
  </si>
  <si>
    <t>3KPFF51ABVE195329</t>
  </si>
  <si>
    <t>VKM 71268</t>
  </si>
  <si>
    <t>KNAB2511AVT514562</t>
  </si>
  <si>
    <t>VKM 71261</t>
  </si>
  <si>
    <t>KNAB2512AVT514053</t>
  </si>
  <si>
    <t>VKM 71226</t>
  </si>
  <si>
    <t>2027SP2A43__25G2001</t>
  </si>
  <si>
    <t>KNAER81AEV7914331</t>
  </si>
  <si>
    <t>4%</t>
  </si>
  <si>
    <t>TALLER</t>
  </si>
  <si>
    <t>VKM 71214</t>
  </si>
  <si>
    <t>LJD3BA1DET0086303</t>
  </si>
  <si>
    <t>27078131</t>
  </si>
  <si>
    <t>VKM 71276</t>
  </si>
  <si>
    <t>3KPFF51AAVE194262</t>
  </si>
  <si>
    <t>23159962</t>
  </si>
  <si>
    <t>VKM 71121</t>
  </si>
  <si>
    <t>2026-03-31</t>
  </si>
  <si>
    <t>2027JA3M35T_25G1203</t>
  </si>
  <si>
    <t>KNAB2512AVT482386</t>
  </si>
  <si>
    <t>VKM 71283</t>
  </si>
  <si>
    <t>3KPFC41ABVE190191</t>
  </si>
  <si>
    <t>VKM 71284</t>
  </si>
  <si>
    <t>KNADA817GVT094488</t>
  </si>
  <si>
    <t>VKM 71260</t>
  </si>
  <si>
    <t>KNADA817GVT094847</t>
  </si>
  <si>
    <t>VKM 71288</t>
  </si>
  <si>
    <t>KNAPU81GBV7361595</t>
  </si>
  <si>
    <t>VKM 71264</t>
  </si>
  <si>
    <t>2027MQ1A68__45H1600</t>
  </si>
  <si>
    <t>KNARH81GDV5500215</t>
  </si>
  <si>
    <t>VKM 71235</t>
  </si>
  <si>
    <t>LJD3BA1DAV0093419</t>
  </si>
  <si>
    <t>13%</t>
  </si>
  <si>
    <t>VKM 71220</t>
  </si>
  <si>
    <t>2026-05-04</t>
  </si>
  <si>
    <t>2026-05-16</t>
  </si>
  <si>
    <t>3KPFC41ABVE173193</t>
  </si>
  <si>
    <t>GRUPO ARME</t>
  </si>
  <si>
    <t>VKM 71282</t>
  </si>
  <si>
    <t>2026-06-03</t>
  </si>
  <si>
    <t>3KPFF51ABVE181253</t>
  </si>
  <si>
    <t>VKM 71256</t>
  </si>
  <si>
    <t>KNAB2512AVT514051</t>
  </si>
  <si>
    <t>VKM 71255</t>
  </si>
  <si>
    <t>KNAB2512AVT514052</t>
  </si>
  <si>
    <t>VKM 71224</t>
  </si>
  <si>
    <t>LJD3BA1DAV0093420</t>
  </si>
  <si>
    <t>14%</t>
  </si>
  <si>
    <t>LLAMADA EN LINEA</t>
  </si>
  <si>
    <t>VKM 71179</t>
  </si>
  <si>
    <t>2026-04-16</t>
  </si>
  <si>
    <t>3KPFC41ABVE188704</t>
  </si>
  <si>
    <t>VKM 71274</t>
  </si>
  <si>
    <t>3KPFF51AAVE194211</t>
  </si>
  <si>
    <t>VKM 71242</t>
  </si>
  <si>
    <t>3KPFF51ABVE180061</t>
  </si>
  <si>
    <t>VKM 71287</t>
  </si>
  <si>
    <t>3KPFF51ABVE196228</t>
  </si>
  <si>
    <t>VKM 71254</t>
  </si>
  <si>
    <t>KNAB2512AVT513614</t>
  </si>
  <si>
    <t>VKM 71246</t>
  </si>
  <si>
    <t>KNAPV81GBV7369759</t>
  </si>
  <si>
    <t>VKM 71229</t>
  </si>
  <si>
    <t>LJD3BA1DAV0093416</t>
  </si>
  <si>
    <t>Compraventero</t>
  </si>
  <si>
    <t>VKM 71221</t>
  </si>
  <si>
    <t>2026-05-05</t>
  </si>
  <si>
    <t>2027JA3M04T_25G1003</t>
  </si>
  <si>
    <t>KNAB2511AVT484445</t>
  </si>
  <si>
    <t>19%</t>
  </si>
  <si>
    <t>VKM 71265</t>
  </si>
  <si>
    <t>2027NQ2A45__25G1601</t>
  </si>
  <si>
    <t>KNAPV81BBV7510820</t>
  </si>
  <si>
    <t>VKM 71263</t>
  </si>
  <si>
    <t>LJD3BA1DAV0091933</t>
  </si>
  <si>
    <t>VKM 71237</t>
  </si>
  <si>
    <t>3KPFD51ABVE180334</t>
  </si>
  <si>
    <t>VKM 71231</t>
  </si>
  <si>
    <t>3KPFF51ABVE180618</t>
  </si>
  <si>
    <t>VKM 71272</t>
  </si>
  <si>
    <t>KNAB2511AVT514512</t>
  </si>
  <si>
    <t>VKM 71251</t>
  </si>
  <si>
    <t>KNAB2512AVT513541</t>
  </si>
  <si>
    <t>VKM 71248</t>
  </si>
  <si>
    <t>KNAPU81GBV7361819</t>
  </si>
  <si>
    <t>324</t>
  </si>
  <si>
    <t>VKM 71174</t>
  </si>
  <si>
    <t>2027QY2A51__25G1503</t>
  </si>
  <si>
    <t>LJD3BA1DEV0090370</t>
  </si>
  <si>
    <t>VKM 71273</t>
  </si>
  <si>
    <t>KNAB2511AVT514182</t>
  </si>
  <si>
    <t>VKM 71271</t>
  </si>
  <si>
    <t>KNAPU81GBV7386509</t>
  </si>
  <si>
    <t>VKM 71289</t>
  </si>
  <si>
    <t>3KPFC41ABVE188483</t>
  </si>
  <si>
    <t>VKM 71275</t>
  </si>
  <si>
    <t>3KPFD51ABVE196233</t>
  </si>
  <si>
    <t>VKM 71285</t>
  </si>
  <si>
    <t>3KPFF51AAVE194085</t>
  </si>
  <si>
    <t>VKM 71239</t>
  </si>
  <si>
    <t>KNAPU81GBV7366040</t>
  </si>
  <si>
    <t>VKM 71191</t>
  </si>
  <si>
    <t>2026-04-23</t>
  </si>
  <si>
    <t>2026NQ2A65__25H1601</t>
  </si>
  <si>
    <t>KNAPV81GBT7370247</t>
  </si>
  <si>
    <t>VKM 71228</t>
  </si>
  <si>
    <t>KNAPV81GBV7370098</t>
  </si>
  <si>
    <t>VKM 71234</t>
  </si>
  <si>
    <t>KNAPV81GBV7370291</t>
  </si>
  <si>
    <t>VKM 71238</t>
  </si>
  <si>
    <t>2026-06-01</t>
  </si>
  <si>
    <t>LJD3BA1DAV0091930</t>
  </si>
  <si>
    <t>VKM 71227</t>
  </si>
  <si>
    <t>LJD3BA1DET0086304</t>
  </si>
  <si>
    <t>VKM 71219</t>
  </si>
  <si>
    <t>3KPFD51ABVE187278</t>
  </si>
  <si>
    <t>VKM 71216</t>
  </si>
  <si>
    <t>3KPFF51ABVE180639</t>
  </si>
  <si>
    <t>VKM 71258</t>
  </si>
  <si>
    <t>3KPFC41ABVE187212</t>
  </si>
  <si>
    <t>VKM 71280</t>
  </si>
  <si>
    <t>3KPFF51AAVE194259</t>
  </si>
  <si>
    <t>VKM 71240</t>
  </si>
  <si>
    <t>3KPFF51ABVE180492</t>
  </si>
  <si>
    <t>VKM 71230</t>
  </si>
  <si>
    <t>3KPFF51ABVE181259</t>
  </si>
  <si>
    <t>VKM 71266</t>
  </si>
  <si>
    <t>KNAB2511AVT514511</t>
  </si>
  <si>
    <t>VKM 71250</t>
  </si>
  <si>
    <t>KNAB2512AVT514029</t>
  </si>
  <si>
    <t>VKM 71233</t>
  </si>
  <si>
    <t>LJD3BA1DAV0092733</t>
  </si>
  <si>
    <t>867</t>
  </si>
  <si>
    <t>VKM 71291</t>
  </si>
  <si>
    <t>3KPFC41ABVE188710</t>
  </si>
  <si>
    <t>VKM 71241</t>
  </si>
  <si>
    <t>3KPFD51ABVE180611</t>
  </si>
  <si>
    <t>VKM 71232</t>
  </si>
  <si>
    <t>3KPFE41ABVE187388</t>
  </si>
  <si>
    <t>VKM 71279</t>
  </si>
  <si>
    <t>3KPFF51AAVE194224</t>
  </si>
  <si>
    <t>VKM 71249</t>
  </si>
  <si>
    <t>3KPFF51ABVE174629</t>
  </si>
  <si>
    <t>VKM 71247</t>
  </si>
  <si>
    <t>3KPFF51ABVE180482</t>
  </si>
  <si>
    <t>VKM 71252</t>
  </si>
  <si>
    <t>KNAB2511AVT514848</t>
  </si>
  <si>
    <t>VKM 71278</t>
  </si>
  <si>
    <t>KNAD6817GVT121394</t>
  </si>
  <si>
    <t>VKM 71236</t>
  </si>
  <si>
    <t>KNADA817GVT100867</t>
  </si>
  <si>
    <t>VKM 71218</t>
  </si>
  <si>
    <t>LJD3BA1DEV0090555</t>
  </si>
  <si>
    <t>VKM 71208</t>
  </si>
  <si>
    <t>93HDG5840TK502498</t>
  </si>
  <si>
    <t>VKM 71244</t>
  </si>
  <si>
    <t>93HRV3860TK303642</t>
  </si>
  <si>
    <t>VKP 91678</t>
  </si>
  <si>
    <t>3KPFC41AAVE187923</t>
  </si>
  <si>
    <t>VKP 91746</t>
  </si>
  <si>
    <t>3KPFC41ABVE196981</t>
  </si>
  <si>
    <t>VKP 91778</t>
  </si>
  <si>
    <t>3KPFC41ABVE197583</t>
  </si>
  <si>
    <t>VKP 91693</t>
  </si>
  <si>
    <t>3KPFF51ABVE180067</t>
  </si>
  <si>
    <t>VKP 91697</t>
  </si>
  <si>
    <t>KNAB2511AVT514419</t>
  </si>
  <si>
    <t>VKP 91696</t>
  </si>
  <si>
    <t>KNAB2511AVT514844</t>
  </si>
  <si>
    <t>VKP 91698</t>
  </si>
  <si>
    <t>KNAB2512AVT513539</t>
  </si>
  <si>
    <t>VKP 91757</t>
  </si>
  <si>
    <t>KNAPU81GBV7361592</t>
  </si>
  <si>
    <t>VKP 91780</t>
  </si>
  <si>
    <t>KNAB2511AVT514100</t>
  </si>
  <si>
    <t>VKP 91685</t>
  </si>
  <si>
    <t>KNAD6817GVT109607</t>
  </si>
  <si>
    <t>VKP 91682</t>
  </si>
  <si>
    <t>KNAPU81GBV7366038</t>
  </si>
  <si>
    <t>VKP 91773</t>
  </si>
  <si>
    <t>KNAPV81GBV7370290</t>
  </si>
  <si>
    <t>VKP 91616</t>
  </si>
  <si>
    <t>2026-04-20</t>
  </si>
  <si>
    <t>2026-04-29</t>
  </si>
  <si>
    <t>2027AB1M23T_24G1404</t>
  </si>
  <si>
    <t>LJD0AA29AV0387763</t>
  </si>
  <si>
    <t>VKP 91660</t>
  </si>
  <si>
    <t>3KPFC41ABVE181165</t>
  </si>
  <si>
    <t>VKP 91681</t>
  </si>
  <si>
    <t>3KPFD51ABVE180337</t>
  </si>
  <si>
    <t>VKP 91744</t>
  </si>
  <si>
    <t>3KPFD51ABVE195737</t>
  </si>
  <si>
    <t>VKP 91717</t>
  </si>
  <si>
    <t>3KPFE41ABVE180921</t>
  </si>
  <si>
    <t>VKP 91692</t>
  </si>
  <si>
    <t>3KPFF51ABVE181211</t>
  </si>
  <si>
    <t>VKP 91740</t>
  </si>
  <si>
    <t>KNAB2511AVT514139</t>
  </si>
  <si>
    <t>VKP 91733</t>
  </si>
  <si>
    <t>KNAB2511AVT514515</t>
  </si>
  <si>
    <t>VKP 91731</t>
  </si>
  <si>
    <t>KNAB2511AVT514566</t>
  </si>
  <si>
    <t>VKP 91707</t>
  </si>
  <si>
    <t>KNAB2512AVT513538</t>
  </si>
  <si>
    <t>VKP 91706</t>
  </si>
  <si>
    <t>KNAB2512AVT513956</t>
  </si>
  <si>
    <t>VKP 91719</t>
  </si>
  <si>
    <t>KNAB2512AVT513957</t>
  </si>
  <si>
    <t>VKP 91695</t>
  </si>
  <si>
    <t>KNAPU81GBV7372352</t>
  </si>
  <si>
    <t>VKP 91732</t>
  </si>
  <si>
    <t>KNAPV81GBV7370412</t>
  </si>
  <si>
    <t>VKP 91662</t>
  </si>
  <si>
    <t>LJD3BA1DET0086332</t>
  </si>
  <si>
    <t>VKP 91724</t>
  </si>
  <si>
    <t>KNAB2512AVT513632</t>
  </si>
  <si>
    <t>VKP 91667</t>
  </si>
  <si>
    <t>2026-06-28</t>
  </si>
  <si>
    <t>KNACR81EGV5362868</t>
  </si>
  <si>
    <t>VKP 91683</t>
  </si>
  <si>
    <t>2027YB2M30__25H1001</t>
  </si>
  <si>
    <t>KNADA817AVT104349</t>
  </si>
  <si>
    <t>VKP 91751</t>
  </si>
  <si>
    <t>KNAPU81GBV7372351</t>
  </si>
  <si>
    <t>VKP 91674</t>
  </si>
  <si>
    <t>KNAPV81GBV7368722</t>
  </si>
  <si>
    <t>VKP 91742</t>
  </si>
  <si>
    <t>3KPFC41AAVE196847</t>
  </si>
  <si>
    <t>VKP 91669</t>
  </si>
  <si>
    <t>2026BL1A70__25G1601</t>
  </si>
  <si>
    <t>3KPFD51ABTE162626</t>
  </si>
  <si>
    <t>VKP 91670</t>
  </si>
  <si>
    <t>3KPFD51ABVE180341</t>
  </si>
  <si>
    <t>VKP 91648</t>
  </si>
  <si>
    <t>3KPFD51ABVE180622</t>
  </si>
  <si>
    <t>VKP 91737</t>
  </si>
  <si>
    <t>3KPFD51ABVE187333</t>
  </si>
  <si>
    <t>VKP 91775</t>
  </si>
  <si>
    <t>3KPFF51AAVE180886</t>
  </si>
  <si>
    <t>VKP 91750</t>
  </si>
  <si>
    <t>3KPFF51AAVE194233</t>
  </si>
  <si>
    <t>VKP 91738</t>
  </si>
  <si>
    <t>KNAB2511AVT514183</t>
  </si>
  <si>
    <t>VKP 91759</t>
  </si>
  <si>
    <t>KNAB2511AVT514504</t>
  </si>
  <si>
    <t>VKP 91713</t>
  </si>
  <si>
    <t>KNAB2511AVT514845</t>
  </si>
  <si>
    <t>VKP 91679</t>
  </si>
  <si>
    <t>LJD3BA1DAV0092743</t>
  </si>
  <si>
    <t>VKP 91743</t>
  </si>
  <si>
    <t>LJD3BA1DAV0093426</t>
  </si>
  <si>
    <t>VKP 91577</t>
  </si>
  <si>
    <t>3KPFC41AAVE180665</t>
  </si>
  <si>
    <t>VKP 91765</t>
  </si>
  <si>
    <t>3KPFD51ABVE196132</t>
  </si>
  <si>
    <t>VKP 91766</t>
  </si>
  <si>
    <t>3KPFF51ABVE166069</t>
  </si>
  <si>
    <t>VKP 91677</t>
  </si>
  <si>
    <t>3KPFF51ABVE176913</t>
  </si>
  <si>
    <t>VKP 91691</t>
  </si>
  <si>
    <t>3KPFF51ABVE180065</t>
  </si>
  <si>
    <t>VKP 91745</t>
  </si>
  <si>
    <t>3KPFF51ABVE196230</t>
  </si>
  <si>
    <t>VKP 91735</t>
  </si>
  <si>
    <t>KNAB2511AVT514518</t>
  </si>
  <si>
    <t>VKP 91715</t>
  </si>
  <si>
    <t>KNAB2511AVT514847</t>
  </si>
  <si>
    <t>VKP 91718</t>
  </si>
  <si>
    <t>KNAB2512AVT513543</t>
  </si>
  <si>
    <t>VKP 91714</t>
  </si>
  <si>
    <t>KNAB2512AVT513974</t>
  </si>
  <si>
    <t>VKP 91725</t>
  </si>
  <si>
    <t>KNAD6817GVT104658</t>
  </si>
  <si>
    <t>VKP 91754</t>
  </si>
  <si>
    <t>KNAPV81GBV7368718</t>
  </si>
  <si>
    <t>VKP 91704</t>
  </si>
  <si>
    <t>KNAB2512AVT513542</t>
  </si>
  <si>
    <t>VKP 91702</t>
  </si>
  <si>
    <t>KNAB2512AVT513973</t>
  </si>
  <si>
    <t>VKP 91703</t>
  </si>
  <si>
    <t>KNAB2512AVT514109</t>
  </si>
  <si>
    <t>VKP 91705</t>
  </si>
  <si>
    <t>KNAB2512AVT514111</t>
  </si>
  <si>
    <t>VKP 91716</t>
  </si>
  <si>
    <t>KNAPU81GBV7387387</t>
  </si>
  <si>
    <t>VKP 91694</t>
  </si>
  <si>
    <t>KNAPV81GBV7368724</t>
  </si>
  <si>
    <t>VKP 91659</t>
  </si>
  <si>
    <t>KNAPV81GBV7370097</t>
  </si>
  <si>
    <t>VKP 91776</t>
  </si>
  <si>
    <t>2027AB1A22__24G1401</t>
  </si>
  <si>
    <t>LJD0AA29BV0395410</t>
  </si>
  <si>
    <t>VKP 91768</t>
  </si>
  <si>
    <t>3KPFC41ABVE188394</t>
  </si>
  <si>
    <t>VKP 91779</t>
  </si>
  <si>
    <t>3KPFD51ABVE175651</t>
  </si>
  <si>
    <t>VKP 91747</t>
  </si>
  <si>
    <t>3KPFD51ABVE196216</t>
  </si>
  <si>
    <t>VKP 91764</t>
  </si>
  <si>
    <t>3KPFF51AAVE194263</t>
  </si>
  <si>
    <t>VKP 91734</t>
  </si>
  <si>
    <t>KNAB2511AVT514567</t>
  </si>
  <si>
    <t>VKP 91709</t>
  </si>
  <si>
    <t>KNAB2511AVT514843</t>
  </si>
  <si>
    <t>VKP 91721</t>
  </si>
  <si>
    <t>KNAB2512AVT513536</t>
  </si>
  <si>
    <t>VKP 91710</t>
  </si>
  <si>
    <t>KNAPV81GBV7370239</t>
  </si>
  <si>
    <t>VKP 91687</t>
  </si>
  <si>
    <t>LJD3BA1DAV0093417</t>
  </si>
  <si>
    <t>VKP 91680</t>
  </si>
  <si>
    <t>3KPFC41ABVE188725</t>
  </si>
  <si>
    <t>VKP 91671</t>
  </si>
  <si>
    <t>3KPFD51ABVE180606</t>
  </si>
  <si>
    <t>VKP 91690</t>
  </si>
  <si>
    <t>3KPFF51ABVE180068</t>
  </si>
  <si>
    <t>VKP 91668</t>
  </si>
  <si>
    <t>3KPFF51ABVE181183</t>
  </si>
  <si>
    <t>VKP 91730</t>
  </si>
  <si>
    <t>KNAB2511AVT514180</t>
  </si>
  <si>
    <t>VKP 91739</t>
  </si>
  <si>
    <t>KNAB2511AVT514517</t>
  </si>
  <si>
    <t>VKP 91748</t>
  </si>
  <si>
    <t>KNAB2511AVT514565</t>
  </si>
  <si>
    <t>VKP 91700</t>
  </si>
  <si>
    <t>KNAB2511AVT514598</t>
  </si>
  <si>
    <t>VKP 91701</t>
  </si>
  <si>
    <t>KNAB2512AVT513537</t>
  </si>
  <si>
    <t>VKP 91699</t>
  </si>
  <si>
    <t>KNAB2512AVT513955</t>
  </si>
  <si>
    <t>VKP 91689</t>
  </si>
  <si>
    <t>KNAD6817GVT105008</t>
  </si>
  <si>
    <t>-1%</t>
  </si>
  <si>
    <t>VKP 91760</t>
  </si>
  <si>
    <t>KNAPU81GBV7361452</t>
  </si>
  <si>
    <t>VKP 91661</t>
  </si>
  <si>
    <t>KNAPV81GBV7370064</t>
  </si>
  <si>
    <t>VKP 91752</t>
  </si>
  <si>
    <t>3KPFE41ABVE187402</t>
  </si>
  <si>
    <t>VKP 91741</t>
  </si>
  <si>
    <t>3KPFF51AAVE194189</t>
  </si>
  <si>
    <t>VKP 91763</t>
  </si>
  <si>
    <t>3KPFF51ABVE195351</t>
  </si>
  <si>
    <t>VKP 91726</t>
  </si>
  <si>
    <t>KNAB2511AVT514520</t>
  </si>
  <si>
    <t>VKP 91708</t>
  </si>
  <si>
    <t>KNAB2512AVT514110</t>
  </si>
  <si>
    <t>VKP 91676</t>
  </si>
  <si>
    <t>KNACR81EGV5345824</t>
  </si>
  <si>
    <t>VKP 91762</t>
  </si>
  <si>
    <t>KNADA817GVT104795</t>
  </si>
  <si>
    <t>VKP 91673</t>
  </si>
  <si>
    <t>KNAPU81GBV7361432</t>
  </si>
  <si>
    <t>VKP 91684</t>
  </si>
  <si>
    <t>LJD3BA1DAV0092720</t>
  </si>
  <si>
    <t>FAW</t>
  </si>
  <si>
    <t>VKP 91651</t>
  </si>
  <si>
    <t>2026WKR TIGER DC 3.6</t>
  </si>
  <si>
    <t>LFWA3KC32TAE95112</t>
  </si>
  <si>
    <t>VKP 91663</t>
  </si>
  <si>
    <t>93HDG5840TK502299</t>
  </si>
  <si>
    <t>VKP 91761</t>
  </si>
  <si>
    <t>93HDG5840TK502779</t>
  </si>
  <si>
    <t>VKP 91770</t>
  </si>
  <si>
    <t>2026CR-V 1.5T 5DR EXL-R CVT</t>
  </si>
  <si>
    <t>2HKRS487XTH600431</t>
  </si>
  <si>
    <t>VKP 91774</t>
  </si>
  <si>
    <t>93HDG5840TK502630</t>
  </si>
  <si>
    <t>VKP 91756</t>
  </si>
  <si>
    <t>93HDG5840TK502658</t>
  </si>
  <si>
    <t>VKP 91753</t>
  </si>
  <si>
    <t>93HDG5840TK502662</t>
  </si>
  <si>
    <t>VKP 91755</t>
  </si>
  <si>
    <t>93HDG5840TK502665</t>
  </si>
  <si>
    <t>VKP 91672</t>
  </si>
  <si>
    <t>93HRV3860TK302580</t>
  </si>
  <si>
    <t>VKP 91675</t>
  </si>
  <si>
    <t>3KPFE41ABVE181438</t>
  </si>
  <si>
    <t>VKP 91664</t>
  </si>
  <si>
    <t>3KPFF51ABVE180636</t>
  </si>
  <si>
    <t>VKP 91727</t>
  </si>
  <si>
    <t>KNAB2511AVT514516</t>
  </si>
  <si>
    <t>VKP 91728</t>
  </si>
  <si>
    <t>KNAB2511AVT514564</t>
  </si>
  <si>
    <t>VKP 91723</t>
  </si>
  <si>
    <t>KNAB2511AVT514846</t>
  </si>
  <si>
    <t>VKP 91711</t>
  </si>
  <si>
    <t>2026SG1A45__25H1600</t>
  </si>
  <si>
    <t>KNACR81EGT5333496</t>
  </si>
  <si>
    <t>VKP 91722</t>
  </si>
  <si>
    <t>KNADA817GVT100864</t>
  </si>
  <si>
    <t>VKP 91688</t>
  </si>
  <si>
    <t>PATIÑO GIRALDO JORGE ALEJANDRO</t>
  </si>
  <si>
    <t>KNAPV81GBV7370192</t>
  </si>
  <si>
    <t>YESICA TATIANA RAMIREZ CAMPO</t>
  </si>
  <si>
    <t>VKP 91712</t>
  </si>
  <si>
    <t>LIEVANO GARCIA JUAN CARLOS</t>
  </si>
  <si>
    <t>KNAB2512AVT513535</t>
  </si>
  <si>
    <t>2026/04/30</t>
  </si>
  <si>
    <t>Abril</t>
  </si>
  <si>
    <t>VKC 70236</t>
  </si>
  <si>
    <t>GRAJALES CASTAÑEDA VALENTINA</t>
  </si>
  <si>
    <t>LJD0AA29BV0379092</t>
  </si>
  <si>
    <t>CARTAGO HONDA</t>
  </si>
  <si>
    <t>VKC 70249</t>
  </si>
  <si>
    <t>MOLINA MARIN STEFANIA</t>
  </si>
  <si>
    <t>93HRV3860TK302838</t>
  </si>
  <si>
    <t>VKM 71197</t>
  </si>
  <si>
    <t>2026-04-24</t>
  </si>
  <si>
    <t>CARVAJAL GONZALEZ ANGELY LIZETH</t>
  </si>
  <si>
    <t>2026NQ2A40__25H1600</t>
  </si>
  <si>
    <t>KNAPU81GBT7374059</t>
  </si>
  <si>
    <t>VKM 71193</t>
  </si>
  <si>
    <t>VERGARA DUQUE RODOLFO</t>
  </si>
  <si>
    <t>LJD3BA1DAV0094312</t>
  </si>
  <si>
    <t>VKM 71199</t>
  </si>
  <si>
    <t>TORRES NOGUERA MARTHA LILIANA</t>
  </si>
  <si>
    <t>LJD3BA1DAV0094294</t>
  </si>
  <si>
    <t>VKM 71190</t>
  </si>
  <si>
    <t>FRANCO VALENCIA SANDRA MARGARITA</t>
  </si>
  <si>
    <t>3KPFD51ABVE180323</t>
  </si>
  <si>
    <t>VKM 71209</t>
  </si>
  <si>
    <t>CORREA LOPEZ ADRIANA MARIA</t>
  </si>
  <si>
    <t>3KPFE41ABVE181427</t>
  </si>
  <si>
    <t>VKM 71184</t>
  </si>
  <si>
    <t>2026-04-21</t>
  </si>
  <si>
    <t>CORREA HENAO MARTHA CECILIA</t>
  </si>
  <si>
    <t>LJD3BA1DEV0090878</t>
  </si>
  <si>
    <t>VKM 71195</t>
  </si>
  <si>
    <t>PALACIO BEDOYA SANTIAGO</t>
  </si>
  <si>
    <t>LJD3BA1DAV0094338</t>
  </si>
  <si>
    <t>VKM 71207</t>
  </si>
  <si>
    <t>2026-04-27</t>
  </si>
  <si>
    <t>PATIÑO AGUDELO LAURA ALEJANDRA</t>
  </si>
  <si>
    <t>3KPFD51ABVE187216</t>
  </si>
  <si>
    <t>VKM 71205</t>
  </si>
  <si>
    <t>TABORDA SANCHEZ YUDY VANESA</t>
  </si>
  <si>
    <t>3KPFC41ABVE188497</t>
  </si>
  <si>
    <t>VKM 71171</t>
  </si>
  <si>
    <t>2026-04-11</t>
  </si>
  <si>
    <t>LIÑAN ALVAREZ EDUIN MANUEL</t>
  </si>
  <si>
    <t>3KPFD51ABVE180133</t>
  </si>
  <si>
    <t>VKM 71189</t>
  </si>
  <si>
    <t>BERRIO CALLE MONICA ANDREA</t>
  </si>
  <si>
    <t>2027QY2A50__25G1503</t>
  </si>
  <si>
    <t>LJD3BA1DEV0092560</t>
  </si>
  <si>
    <t>VKM 71170</t>
  </si>
  <si>
    <t>OSPINA CALLE YAMILETH LUCIA</t>
  </si>
  <si>
    <t>KNAB2512AVT496196</t>
  </si>
  <si>
    <t>VKM 71198</t>
  </si>
  <si>
    <t>TABARES TRUJILLO JOSE RAMIRO</t>
  </si>
  <si>
    <t>LJD3BA1DAV0094293</t>
  </si>
  <si>
    <t>VKM 71192</t>
  </si>
  <si>
    <t>BENAVIDES PALACIOS MARIA DEL CARMEN</t>
  </si>
  <si>
    <t>LJD3BA1DAV0094538</t>
  </si>
  <si>
    <t>VKP 91634</t>
  </si>
  <si>
    <t>2026-04-25</t>
  </si>
  <si>
    <t>CASTAÑO TANIA MILENA</t>
  </si>
  <si>
    <t>3KPFD51ABVE187380</t>
  </si>
  <si>
    <t>VKP 91591</t>
  </si>
  <si>
    <t>2026-04-17</t>
  </si>
  <si>
    <t>POSADA VINASCO LUCERO STEFANIA</t>
  </si>
  <si>
    <t>KNAB2512AVT495965</t>
  </si>
  <si>
    <t>VKP 91590</t>
  </si>
  <si>
    <t>MAZO AGUDELO MONDIER ADOLFO</t>
  </si>
  <si>
    <t>KNAB2512AVT496247</t>
  </si>
  <si>
    <t>VKP 91625</t>
  </si>
  <si>
    <t>BETANCOURT JIMENEZ ADRIANA PATRICIA</t>
  </si>
  <si>
    <t>LJD3BA1DAV0094313</t>
  </si>
  <si>
    <t>VKP 91630</t>
  </si>
  <si>
    <t>CARMONA GIRALDO PAULA ANDREA</t>
  </si>
  <si>
    <t>LJD3BA1DAV0094537</t>
  </si>
  <si>
    <t>VKP 91572</t>
  </si>
  <si>
    <t>HOLGUIN ALBARRAN JHONATAN DARIO</t>
  </si>
  <si>
    <t>3KPFF51AAVE181079</t>
  </si>
  <si>
    <t>VKP 91612</t>
  </si>
  <si>
    <t>VALENCIA SILVIA</t>
  </si>
  <si>
    <t>2026QY2A35__25G1501</t>
  </si>
  <si>
    <t>LJD3BA1DET0076309</t>
  </si>
  <si>
    <t>MATRICULAS PENDIENTES  DEL 01  AL 30 DE ABRIL 2026</t>
  </si>
  <si>
    <t>Total CARTAGO HONDA</t>
  </si>
  <si>
    <t>Total general</t>
  </si>
  <si>
    <t>OBERVACIONES</t>
  </si>
  <si>
    <t>Se cosulta con cartera es Subvencion autorizado para pago</t>
  </si>
  <si>
    <t>Total 123</t>
  </si>
  <si>
    <t>Total 273</t>
  </si>
  <si>
    <t>Total 753</t>
  </si>
  <si>
    <t>Total 883</t>
  </si>
  <si>
    <t>Total 951</t>
  </si>
  <si>
    <t>Total 1075</t>
  </si>
  <si>
    <t>Total 901</t>
  </si>
  <si>
    <t>Total 907</t>
  </si>
  <si>
    <t>Total 959</t>
  </si>
  <si>
    <t>Total 964</t>
  </si>
  <si>
    <t>Total 1086</t>
  </si>
  <si>
    <t>Total 320</t>
  </si>
  <si>
    <t>Total 823</t>
  </si>
  <si>
    <t>Total 923</t>
  </si>
  <si>
    <t>Total 265</t>
  </si>
  <si>
    <t>Total 297</t>
  </si>
  <si>
    <t>Total 308</t>
  </si>
  <si>
    <t>Total 324</t>
  </si>
  <si>
    <t>Total 861</t>
  </si>
  <si>
    <t>Total 867</t>
  </si>
  <si>
    <t>Total 966</t>
  </si>
  <si>
    <t>Total 1076</t>
  </si>
  <si>
    <t>Total 1077</t>
  </si>
  <si>
    <t>Total 998</t>
  </si>
  <si>
    <t>Total 272</t>
  </si>
  <si>
    <t>Total 279</t>
  </si>
  <si>
    <t>Total 464</t>
  </si>
  <si>
    <t>Total 824</t>
  </si>
  <si>
    <t>Total 903</t>
  </si>
  <si>
    <t>Total 950</t>
  </si>
  <si>
    <t>Total 967</t>
  </si>
  <si>
    <t>Total 1016</t>
  </si>
  <si>
    <t>Total 1038</t>
  </si>
  <si>
    <t>Total 1044</t>
  </si>
  <si>
    <t>Total 1097</t>
  </si>
  <si>
    <t>Total 911</t>
  </si>
  <si>
    <t>Total 947</t>
  </si>
  <si>
    <t>Total 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</si>
</sst>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gradientFill degree="90">
        <stop position="0">
          <color rgb="FFC00000"/>
        </stop>
        <stop position="1">
          <color rgb="FFC00000"/>
        </stop>
      </gradientFill>
    </fill>
    <fill>
      <patternFill patternType="solid">
        <fgColor theme="4" tint="0.79998168889431442"/>
        <bgColor indexed="65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64"/>
      </top>
      <bottom style="thin">
        <color indexed="64"/>
      </bottom>
      <diagonal/>
    </border>
    <border>
      <left style="thin">
        <color indexed="65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0" fontId="2" fillId="0" borderId="1" xfId="0" applyNumberFormat="1" applyFont="1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0" fontId="2" fillId="0" borderId="1" xfId="0" applyNumberFormat="1" applyFont="1" applyBorder="1" applyAlignment="1">
      <alignment horizontal="center" vertical="center"/>
    </xf>
    <xf numFmtId="164" fontId="2" fillId="0" borderId="4" xfId="0" applyNumberFormat="1" applyFont="1" applyBorder="1"/>
    <xf numFmtId="1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0" borderId="7" xfId="0" applyNumberFormat="1" applyFont="1" applyBorder="1"/>
    <xf numFmtId="0" fontId="0" fillId="0" borderId="2" xfId="0" pivotButton="1" applyBorder="1"/>
    <xf numFmtId="0" fontId="0" fillId="0" borderId="8" xfId="0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5" xfId="0" applyBorder="1"/>
    <xf numFmtId="0" fontId="0" fillId="0" borderId="12" xfId="0" applyBorder="1"/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0" fillId="0" borderId="8" xfId="0" applyNumberFormat="1" applyBorder="1"/>
    <xf numFmtId="0" fontId="0" fillId="0" borderId="3" xfId="0" applyNumberFormat="1" applyBorder="1"/>
    <xf numFmtId="0" fontId="0" fillId="0" borderId="7" xfId="0" applyNumberFormat="1" applyBorder="1"/>
    <xf numFmtId="0" fontId="5" fillId="0" borderId="0" xfId="0" applyFont="1"/>
    <xf numFmtId="0" fontId="4" fillId="3" borderId="13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1" fillId="4" borderId="8" xfId="0" applyFont="1" applyFill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4" xfId="0" applyNumberFormat="1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omina" refreshedDate="46185.446960069443" refreshedVersion="8" recordCount="243" xr:uid="{00000000-000A-0000-FFFF-FFFF00000000}">
  <cacheSource type="worksheet">
    <worksheetSource ref="A1:AA244" sheet="Worksheet"/>
  </cacheSource>
  <cacheFields count="27">
    <cacheField name="Fecha Comision" numFmtId="0">
      <sharedItems/>
    </cacheField>
    <cacheField name="Mes" numFmtId="0">
      <sharedItems/>
    </cacheField>
    <cacheField name="Marca" numFmtId="0">
      <sharedItems/>
    </cacheField>
    <cacheField name="Concesionario" numFmtId="0">
      <sharedItems count="10">
        <s v="ARMENIA"/>
        <s v="ARMENIA HONDA"/>
        <s v="CARTAGO"/>
        <s v="DORADA"/>
        <s v="MANIZALES"/>
        <s v="MANIZALES HONDA"/>
        <s v="PEREIRA"/>
        <s v="PEREIRA FAW"/>
        <s v="PEREIRA HONDA"/>
        <s v="PEREIRA LA 17"/>
      </sharedItems>
    </cacheField>
    <cacheField name="Vendedor" numFmtId="0">
      <sharedItems/>
    </cacheField>
    <cacheField name="Cod. Vendedor" numFmtId="0">
      <sharedItems containsMixedTypes="1" containsNumber="1" containsInteger="1" minValue="123" maxValue="1097"/>
    </cacheField>
    <cacheField name="Origen" numFmtId="0">
      <sharedItems/>
    </cacheField>
    <cacheField name="Referencia" numFmtId="0">
      <sharedItems containsMixedTypes="1" containsNumber="1" containsInteger="1" minValue="23115575" maxValue="27091876"/>
    </cacheField>
    <cacheField name="Factura" numFmtId="0">
      <sharedItems/>
    </cacheField>
    <cacheField name="Fecha Factura" numFmtId="0">
      <sharedItems/>
    </cacheField>
    <cacheField name="Fecha Entrega" numFmtId="0">
      <sharedItems/>
    </cacheField>
    <cacheField name="Fecha Matricula" numFmtId="0">
      <sharedItems/>
    </cacheField>
    <cacheField name="Cliente" numFmtId="0">
      <sharedItems/>
    </cacheField>
    <cacheField name="Matriculados" numFmtId="0">
      <sharedItems containsSemiMixedTypes="0" containsString="0" containsNumber="1" containsInteger="1" minValue="1" maxValue="14"/>
    </cacheField>
    <cacheField name="Cod. Modelo" numFmtId="0">
      <sharedItems/>
    </cacheField>
    <cacheField name="Modelo" numFmtId="0">
      <sharedItems/>
    </cacheField>
    <cacheField name="VIN" numFmtId="0">
      <sharedItems/>
    </cacheField>
    <cacheField name="Valor Venta" numFmtId="164">
      <sharedItems containsSemiMixedTypes="0" containsString="0" containsNumber="1" containsInteger="1" minValue="44291575" maxValue="190074380"/>
    </cacheField>
    <cacheField name="Obsequios" numFmtId="164">
      <sharedItems containsSemiMixedTypes="0" containsString="0" containsNumber="1" containsInteger="1" minValue="83000" maxValue="5207000"/>
    </cacheField>
    <cacheField name="Costo Total" numFmtId="164">
      <sharedItems containsSemiMixedTypes="0" containsString="0" containsNumber="1" containsInteger="1" minValue="41856299" maxValue="171066942"/>
    </cacheField>
    <cacheField name="Costo iva" numFmtId="164">
      <sharedItems containsSemiMixedTypes="0" containsString="0" containsNumber="1" containsInteger="1" minValue="56250300" maxValue="229990000"/>
    </cacheField>
    <cacheField name="Margen" numFmtId="10">
      <sharedItems/>
    </cacheField>
    <cacheField name="Saldo Pendiente" numFmtId="164">
      <sharedItems containsSemiMixedTypes="0" containsString="0" containsNumber="1" containsInteger="1" minValue="0" maxValue="154883400"/>
    </cacheField>
    <cacheField name="Comision 100 %" numFmtId="164">
      <sharedItems containsSemiMixedTypes="0" containsString="0" containsNumber="1" minValue="182646" maxValue="1551181"/>
    </cacheField>
    <cacheField name="% Comision" numFmtId="164">
      <sharedItems containsString="0" containsBlank="1" containsNumber="1" minValue="189173" maxValue="1551181"/>
    </cacheField>
    <cacheField name="Comision Real" numFmtId="10">
      <sharedItems containsSemiMixedTypes="0" containsString="0" containsNumber="1" minValue="3.9999958176639445E-3" maxValue="1.0000004372297824E-2"/>
    </cacheField>
    <cacheField name="Bono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omina" refreshedDate="46185.446960648151" refreshedVersion="8" recordCount="23" xr:uid="{00000000-000A-0000-FFFF-FFFF02000000}">
  <cacheSource type="worksheet">
    <worksheetSource ref="A1:AA24" sheet="COMISIONES PENDIENTES"/>
  </cacheSource>
  <cacheFields count="27">
    <cacheField name="Fecha Comision" numFmtId="0">
      <sharedItems/>
    </cacheField>
    <cacheField name="Mes" numFmtId="0">
      <sharedItems/>
    </cacheField>
    <cacheField name="Marca" numFmtId="0">
      <sharedItems/>
    </cacheField>
    <cacheField name="Concesionario" numFmtId="0">
      <sharedItems count="6">
        <s v="CARTAGO"/>
        <s v="CARTAGO HONDA"/>
        <s v="DORADA"/>
        <s v="MANIZALES"/>
        <s v="PEREIRA"/>
        <s v="PEREIRA LA 17"/>
      </sharedItems>
    </cacheField>
    <cacheField name="Vendedor" numFmtId="0">
      <sharedItems count="12">
        <s v="LISA MARIA LONDOÑO BOLIVAR"/>
        <s v="CRISTIAN CAMILO CHAPARRO PERDOMO"/>
        <s v="SILVIA PATRICIA PINEDA CARDONA"/>
        <s v="ANDRES GEOVANNY OSSA RESTREPO"/>
        <s v="JORGE ANDRES OCAMPO GIRALDO"/>
        <s v="KENNY ALEJANDRO CANO ALVAREZ"/>
        <s v="WALTER ZAPATA VASQUEZ"/>
        <s v="YEISON ESTIVEN GONZALEZ CARDONA"/>
        <s v="JOHAN ANDRES QUINTERO MESA"/>
        <s v="LINA MARCELA HURTADO NARVAEZ"/>
        <s v="NANCY LORENA CARRERO MARTINEZ"/>
        <s v="ESTEBAN JARAMILLO JARAMILLO"/>
      </sharedItems>
    </cacheField>
    <cacheField name="Cod. Vendedor" numFmtId="0">
      <sharedItems containsSemiMixedTypes="0" containsString="0" containsNumber="1" containsInteger="1" minValue="272" maxValue="1038"/>
    </cacheField>
    <cacheField name="Origen" numFmtId="0">
      <sharedItems/>
    </cacheField>
    <cacheField name="Referencia" numFmtId="0">
      <sharedItems containsSemiMixedTypes="0" containsString="0" containsNumber="1" containsInteger="1" minValue="23148195" maxValue="27026579"/>
    </cacheField>
    <cacheField name="Factura" numFmtId="0">
      <sharedItems/>
    </cacheField>
    <cacheField name="Fecha Factura" numFmtId="0">
      <sharedItems/>
    </cacheField>
    <cacheField name="Fecha Entrega" numFmtId="0">
      <sharedItems/>
    </cacheField>
    <cacheField name="Fecha Matricula" numFmtId="0">
      <sharedItems/>
    </cacheField>
    <cacheField name="Cliente" numFmtId="0">
      <sharedItems count="23">
        <s v="GRAJALES CASTAÑEDA VALENTINA"/>
        <s v="MOLINA MARIN STEFANIA"/>
        <s v="CARVAJAL GONZALEZ ANGELY LIZETH"/>
        <s v="VERGARA DUQUE RODOLFO"/>
        <s v="TORRES NOGUERA MARTHA LILIANA"/>
        <s v="FRANCO VALENCIA SANDRA MARGARITA"/>
        <s v="CORREA LOPEZ ADRIANA MARIA"/>
        <s v="CORREA HENAO MARTHA CECILIA"/>
        <s v="PALACIO BEDOYA SANTIAGO"/>
        <s v="PATIÑO AGUDELO LAURA ALEJANDRA"/>
        <s v="TABORDA SANCHEZ YUDY VANESA"/>
        <s v="LIÑAN ALVAREZ EDUIN MANUEL"/>
        <s v="BERRIO CALLE MONICA ANDREA"/>
        <s v="OSPINA CALLE YAMILETH LUCIA"/>
        <s v="TABARES TRUJILLO JOSE RAMIRO"/>
        <s v="BENAVIDES PALACIOS MARIA DEL CARMEN"/>
        <s v="CASTAÑO TANIA MILENA"/>
        <s v="POSADA VINASCO LUCERO STEFANIA"/>
        <s v="MAZO AGUDELO MONDIER ADOLFO"/>
        <s v="BETANCOURT JIMENEZ ADRIANA PATRICIA"/>
        <s v="CARMONA GIRALDO PAULA ANDREA"/>
        <s v="HOLGUIN ALBARRAN JHONATAN DARIO"/>
        <s v="VALENCIA SILVIA"/>
      </sharedItems>
    </cacheField>
    <cacheField name="Matriculados" numFmtId="0">
      <sharedItems containsSemiMixedTypes="0" containsString="0" containsNumber="1" containsInteger="1" minValue="2" maxValue="14"/>
    </cacheField>
    <cacheField name="Cod. Modelo" numFmtId="0">
      <sharedItems/>
    </cacheField>
    <cacheField name="Modelo" numFmtId="0">
      <sharedItems count="11">
        <s v="SOLUTO EMOTION"/>
        <s v="HR-V EXL-A"/>
        <s v="SPORTAGE VIBRANT"/>
        <s v="SONET VIBRANT MT"/>
        <s v="K3 CROSS GT LINE"/>
        <s v="K3 GT LINE"/>
        <s v="SONET VIBRANT"/>
        <s v="K3 VIBRANT"/>
        <s v="SONET ZENITH"/>
        <s v="PICANTO ZENITH MT"/>
        <s v="K3 CROSS VIBRANT MT"/>
      </sharedItems>
    </cacheField>
    <cacheField name="VIN" numFmtId="0">
      <sharedItems/>
    </cacheField>
    <cacheField name="Valor Venta" numFmtId="164">
      <sharedItems containsSemiMixedTypes="0" containsString="0" containsNumber="1" containsInteger="1" minValue="51688372" maxValue="136283186"/>
    </cacheField>
    <cacheField name="Obsequios" numFmtId="164">
      <sharedItems containsSemiMixedTypes="0" containsString="0" containsNumber="1" containsInteger="1" minValue="234000" maxValue="2024000"/>
    </cacheField>
    <cacheField name="Costo Total" numFmtId="164">
      <sharedItems containsSemiMixedTypes="0" containsString="0" containsNumber="1" containsInteger="1" minValue="46908793" maxValue="124677795"/>
    </cacheField>
    <cacheField name="Costo iva" numFmtId="164">
      <sharedItems containsSemiMixedTypes="0" containsString="0" containsNumber="1" containsInteger="1" minValue="65644232" maxValue="154000000"/>
    </cacheField>
    <cacheField name="Margen" numFmtId="10">
      <sharedItems/>
    </cacheField>
    <cacheField name="Saldo Pendiente" numFmtId="164">
      <sharedItems containsSemiMixedTypes="0" containsString="0" containsNumber="1" containsInteger="1" minValue="0" maxValue="57077101"/>
    </cacheField>
    <cacheField name="Comision 100 %" numFmtId="164">
      <sharedItems containsSemiMixedTypes="0" containsString="0" containsNumber="1" containsInteger="1" minValue="232937" maxValue="983465"/>
    </cacheField>
    <cacheField name="Comision Real" numFmtId="164">
      <sharedItems containsSemiMixedTypes="0" containsString="0" containsNumber="1" containsInteger="1" minValue="0" maxValue="736220"/>
    </cacheField>
    <cacheField name="% Comision " numFmtId="10">
      <sharedItems containsSemiMixedTypes="0" containsString="0" containsNumber="1" minValue="4.4999945545809317E-3" maxValue="1.0000004372297824E-2"/>
    </cacheField>
    <cacheField name="Bono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omina" refreshedDate="46185.484088773148" refreshedVersion="8" recordCount="244" xr:uid="{00000000-000A-0000-FFFF-FFFF01000000}">
  <cacheSource type="worksheet">
    <worksheetSource ref="A1:AB245" sheet="Worksheet"/>
  </cacheSource>
  <cacheFields count="28">
    <cacheField name="Fecha Comision" numFmtId="0">
      <sharedItems/>
    </cacheField>
    <cacheField name="Mes" numFmtId="0">
      <sharedItems/>
    </cacheField>
    <cacheField name="Marca" numFmtId="0">
      <sharedItems/>
    </cacheField>
    <cacheField name="Concesionario" numFmtId="0">
      <sharedItems count="10">
        <s v="ARMENIA"/>
        <s v="ARMENIA HONDA"/>
        <s v="CARTAGO"/>
        <s v="DORADA"/>
        <s v="MANIZALES"/>
        <s v="MANIZALES HONDA"/>
        <s v="PEREIRA"/>
        <s v="PEREIRA FAW"/>
        <s v="PEREIRA HONDA"/>
        <s v="PEREIRA LA 17"/>
      </sharedItems>
    </cacheField>
    <cacheField name="Vendedor" numFmtId="0">
      <sharedItems count="38">
        <s v="ALVARO ANDRES LUGO ALONSO"/>
        <s v="GUSTAVO ADOLFO RAMIREZ BECERRA"/>
        <s v="JAIME ALBERTO OSPINA"/>
        <s v="JOHAN SEBASTIAN BENITO MURCIA"/>
        <s v="PIEDAD NATALIA VILLEGAS CAMPO"/>
        <s v="RICARDO SNEYDER MORA RUBIO"/>
        <s v="SANTIAGO ALZATE LEZCANO"/>
        <s v="ANDRES FELIPE RODRIGUEZ LONDOÑO"/>
        <s v="ANDRES MAURICIO RAMIREZ MONTAÑO"/>
        <s v="LISA MARIA LONDOÑO BOLIVAR"/>
        <s v="SERGIO ALEXANDER CASIERRA MARTINEZ"/>
        <s v="CRISTIAN CAMILO CHAPARRO PERDOMO"/>
        <s v="SILVIA PATRICIA PINEDA CARDONA"/>
        <s v="STEWART ORJUELA PENAGOS"/>
        <s v="ANDRES GEOVANNY OSSA RESTREPO"/>
        <s v="EDGAR ALBERTO SERNA LLANO"/>
        <s v="GERMAN LLANO BOTERO"/>
        <s v="JORGE ANDRES OCAMPO GIRALDO"/>
        <s v="JUAN SEBASTIAN ZAMORA ARROYAVE"/>
        <s v="KENNY ALEJANDRO CANO ALVAREZ"/>
        <s v="SEBASTIAN GIRALDO PINEDA"/>
        <s v="WALTER ZAPATA VASQUEZ"/>
        <s v="YEISON ESTIVEN GONZALEZ CARDONA"/>
        <s v="ADRIANA JARAMILLO HENAO"/>
        <s v="CLAUDIA PATRICIA MAFLA CRUZ"/>
        <s v="DIANA PAOLA BRAVO MARIN"/>
        <s v="JOHAN ANDRES QUINTERO MESA"/>
        <s v="JUAN CAMILO ALZATE RENDON"/>
        <s v="LINA MARCELA HURTADO NARVAEZ"/>
        <s v="LIZANYURI FERLA ORTIZ"/>
        <s v="MARIO ALEJANDRO GUACAS SILVESTRE"/>
        <s v="NANCY LORENA CARRERO MARTINEZ"/>
        <s v="SEBASTIAN GIRALDO CEBALLOS"/>
        <s v="SIMON JOSE LOAIZA QUINTERO"/>
        <s v="SOL PATRICIA GUTIERREZ BOLIVAR"/>
        <s v="José Manuel Triviño Jiménez"/>
        <s v="LILIANA TRUJILLO GARCIA"/>
        <s v="ESTEBAN JARAMILLO JARAMILLO"/>
      </sharedItems>
    </cacheField>
    <cacheField name="Cod. Vendedor" numFmtId="0">
      <sharedItems containsMixedTypes="1" containsNumber="1" containsInteger="1" minValue="123" maxValue="1097" count="40">
        <n v="883"/>
        <n v="273"/>
        <n v="753"/>
        <n v="951"/>
        <n v="123"/>
        <n v="1075"/>
        <n v="901"/>
        <n v="959"/>
        <n v="964"/>
        <n v="907"/>
        <n v="1086"/>
        <n v="823"/>
        <n v="923"/>
        <n v="320"/>
        <n v="861"/>
        <n v="265"/>
        <n v="297"/>
        <n v="324"/>
        <s v="324"/>
        <n v="1076"/>
        <n v="308"/>
        <n v="1077"/>
        <n v="867"/>
        <s v="867"/>
        <n v="966"/>
        <n v="998"/>
        <n v="950"/>
        <n v="464"/>
        <n v="272"/>
        <n v="1044"/>
        <n v="1038"/>
        <n v="903"/>
        <n v="1097"/>
        <n v="279"/>
        <n v="1016"/>
        <n v="967"/>
        <n v="824"/>
        <n v="947"/>
        <n v="911"/>
        <n v="866"/>
      </sharedItems>
    </cacheField>
    <cacheField name="Origen" numFmtId="0">
      <sharedItems/>
    </cacheField>
    <cacheField name="Referencia" numFmtId="0">
      <sharedItems containsMixedTypes="1" containsNumber="1" containsInteger="1" minValue="23115575" maxValue="27091876"/>
    </cacheField>
    <cacheField name="Factura" numFmtId="0">
      <sharedItems/>
    </cacheField>
    <cacheField name="Fecha Factura" numFmtId="0">
      <sharedItems/>
    </cacheField>
    <cacheField name="Fecha Entrega" numFmtId="0">
      <sharedItems/>
    </cacheField>
    <cacheField name="Fecha Matricula" numFmtId="0">
      <sharedItems/>
    </cacheField>
    <cacheField name="Cliente" numFmtId="0">
      <sharedItems count="243">
        <s v="FERNANDEZ RINCON CARMEN AYDE"/>
        <s v="PINEDA BELTRAN LUISA FERNANDA"/>
        <s v="BELTRAN GALINDO LAURA VANESSA"/>
        <s v="MALDONADO CHICA LUIS FERNANDO"/>
        <s v="ARIAS CASTAÑO MANUELA"/>
        <s v="TENJO RAMIREZ ANGUIE KATHERIN"/>
        <s v="MURILLO RODRIGUEZ JHENNY"/>
        <s v="MANCILLA MARTINEZ LILIANA"/>
        <s v="BERNAL CARDONA FACUNDO IGNACIO"/>
        <s v="TOBON BUITRAGO VALENTINA"/>
        <s v="SAAVEDRA SUAREZ MARIA DEL PILAR"/>
        <s v="SAAVEDRA LOPEZ STEPHANIE"/>
        <s v="PRADA ALVARO"/>
        <s v="HIDALGO ARCILA JOHANNA ANDREA"/>
        <s v="BENAVIDES GOMEZ JUAN DAVID"/>
        <s v="LARA VALENCIA LEIDY MARCELA"/>
        <s v="GARCIA PINO PAULA ANDREA"/>
        <s v="LADINO LONDOÑO MARIA DEL PILAR"/>
        <s v="TABORDA OROZCO MARTHA LILIANA"/>
        <s v="GARCIA MORALES JAMES ANDRES"/>
        <s v="HIGUERA ZARAZA JHON MILLER"/>
        <s v="TAPIA GUERRERO JULIO CESAR"/>
        <s v="VALENCIA JAIMES SINDY TATIANA"/>
        <s v="PALACIO MERCADO MAYKELLY"/>
        <s v="GRANADOS MEZA JORGE ALBERTO"/>
        <s v="ROJAS QUINTERO JUAN DIEGO"/>
        <s v="BERNAL GALLEGO FERNEY"/>
        <s v="SANCHEZ VARGAS LYDY YOVANA"/>
        <s v="MARULANDA VALENCIA JOSE ALBEIRO"/>
        <s v="GOMEZ LOPEZ MIRIAM"/>
        <s v="HERNANDEZ CERON JOSE VICENTE"/>
        <s v="MARTINEZ ECHEVERRY DIEGO MAURICIO"/>
        <s v="GRAJALES ROJAS PAOLA ANDREA"/>
        <s v="RODRIGUEZ RESTREPO GIULIANO"/>
        <s v="RIASCOS VIVEROS LEONARDO"/>
        <s v="CASTAÑO SANZ LUIS ALBERTO"/>
        <s v="LEOPARDO METAUTE NOE"/>
        <s v="CARMONA ORTEGA LUZ ADRIANA"/>
        <s v="COLORADO PAMPLONA FABIAN ARLEY"/>
        <s v="MEDINA DELGADILLO ANGELA BEATRIZ"/>
        <s v="BEDOYA GALLEGO LUZ ELENA"/>
        <s v="ECHEVERRY CASTRILLON LIBARDO LEON"/>
        <s v="GRAJALES CARDONA JHOAN SEBASTIAN"/>
        <s v="GARZON SANZ WILMER"/>
        <s v="VALDERRAMA GUTIERREZ DARWIN HAMITH"/>
        <s v="MONTES CHAURA JULIO CESAR"/>
        <s v="BUITRAGO NOREÑA CHRISTIAN MAURICIO"/>
        <s v="ISAZA GONZALEZ JORGE ARMANDO"/>
        <s v="VALENCIA SANCHEZ NATALIA"/>
        <s v="SALCEDO PENILLA LUIS GUILLERMO"/>
        <s v="RODRIGUEZ IBAÑEZ MIGUEL ANGEL"/>
        <s v="SANCHEZ GONZALES SANDRA YAMILE"/>
        <s v="AGUIRRE DAVALOS WILLIAM"/>
        <s v="OCAMPO GOMEZ LINA VANESSA"/>
        <s v="GONZALEZ HERRERA SANDRA JANETH"/>
        <s v="RAMOS TORO ANGELICA MARIA"/>
        <s v="ROA SAAVEDRA MIGUEL LEONARDO"/>
        <s v="RODRIGUEZ SALAZAR MARCELO"/>
        <s v="HENAO BEDOYA MILI JOHANA"/>
        <s v="ESCOBAR ESCOBAR LINA PAOLA"/>
        <s v="HOSPITAL DE ALTA COMPLEJIDAD DEL MAGDALENA MEDIO SAS"/>
        <s v="VALENCIA BONILLA DIANA CAROLINA"/>
        <s v="SANDINO LOPEZ ANGELICA"/>
        <s v="RICO RODRIGUEZ LUCIO"/>
        <s v="ANGEL ZULUAGA YURY"/>
        <s v="DIAZ QUINTERO LINA LICETH"/>
        <s v="MARTINEZ GARCIA DANIEL FELIPE"/>
        <s v="CONTRERAS PARGA ZULY ESMERALDA"/>
        <s v="ROA SANCHEZ LUIS ENHAWER"/>
        <s v="URUEÑA PARADA LINA MARCELA"/>
        <s v="CARDONA VELASQUEZ RUTH ALEXANDRA"/>
        <s v="PORRAS MUÑOZ NESTOR SAUL"/>
        <s v="ROMERO MARIA DORA"/>
        <s v="GOMEZ BELTRAN URIEL DOMINGO"/>
        <s v="GALVIS ALZATE LEIDY JOHANA"/>
        <s v="ANDRES HERNANDEZ PAULO"/>
        <s v="MURILLO CASTILLO MABEL"/>
        <s v="MORANTES MEDINA JOSE ALIRIO"/>
        <s v="PALOMINO MEJIA ADRIANA JULIETH"/>
        <s v="GARZON MANIOS LIZETH CAMILA"/>
        <s v="DURAN ALZATE LEIDY VIVIANA"/>
        <s v="VARGAS DIANA CAROLINA"/>
        <s v="SANTOFIMIO SAAVEDRA GONZALO"/>
        <s v="RIOS LONDOÑO GUSTAVO ADOLFO"/>
        <s v="TANGARIFE LOPEZ GLORIA CLEMENCIA"/>
        <s v="MOLINA DE GONZALEZ AMALIA"/>
        <s v="GALVEZ ZUASNABAR EDGAR"/>
        <s v="ARENAS PATIÑO OSCAR"/>
        <s v="OCAMPO DE ECHEVERRI LILIANA"/>
        <s v="LOPEZ AGUIRRE MARIA DE LOS ANGELES"/>
        <s v="ALZATE PARRA LUIS EDILBERTO"/>
        <s v="FELIPE PEREZ SIERRA ANDRES"/>
        <s v="CARDENAS VALENCIA MOISES"/>
        <s v="SERNA CARDONA ELIANA MARIA"/>
        <s v="CALDERON MARIA ELENA"/>
        <s v="LOPEZ IGLESIAS MOISES DAVID"/>
        <s v="DAZA LINCE CAROLINA"/>
        <s v="NIETO RIOS JOHN JAIRO"/>
        <s v="GIRALDO CANO RAUL DE JESUS"/>
        <s v="GUTIERREZ GARCIA MARIA DEL SOCORRO"/>
        <s v="ARIAS CASTRO JULIAN DAVID"/>
        <s v="CANO BEDOYA JUAN DAVID"/>
        <s v="BOTERO SANCHEZ SEBASTIAN"/>
        <s v="PARRA CORTES JUAN DAVID"/>
        <s v="SANCHEZ AGUIRRE ESTEFANIA"/>
        <s v="GRISALES MARTINEZ LADY VANESSA"/>
        <s v="MEJIA DE GALVIS FLORALBA"/>
        <s v="PAREJA CARDONA EDUIN"/>
        <s v="JIMENEZ VELEZ LEYDI JOANA"/>
        <s v="JARAMILLO COTE GERMAN"/>
        <s v="RIVERA SALAZAR LUZ STELLA"/>
        <s v="JIMENEZ ACEVEDO DEISY"/>
        <s v="MAZO LOPEZ DORA LILIA"/>
        <s v="RESTREPO GUZMAN JULIAN ANDRES"/>
        <s v="ALBARRACIN GUZMAN LUZ ZORAIDA"/>
        <s v="TABARES MORALES ARIEL ANTONIO"/>
        <s v="GONZALEZ LOPEZ LAURA"/>
        <s v="FLOREZ QUINTERO JENNY SULETH"/>
        <s v="BETANCUR GUZMAN STHEFANIA"/>
        <s v="GOMEZ OCAMPO HECTOR HERNAN"/>
        <s v="MONTOYA NOREÑA JUAN PABLO"/>
        <s v="GARCIA DUQUE JHOAN FELIPE"/>
        <s v="GARCIA TABARES CARLOS IVAN"/>
        <s v="BOTERO TRUJILLO JUAN JOSE"/>
        <s v="ALVAREZ MORALES ELSA LILIANA"/>
        <s v="MUÑOZ ROJAS ELIANA CHARLOTH"/>
        <s v="ESCOBAR ESTRADA JUAN CARLOS"/>
        <s v="BUITRAGO ESPINOSA ROBINSON"/>
        <s v="PARDO RINCON GERMAN RUBEN"/>
        <s v="DELGADO VALENCIA DIANA ALEJANDRA"/>
        <s v="ARENAS GALVIS MONICA VIVIANA"/>
        <s v="CALERO SALDARRIAGA YULIANA"/>
        <s v="SOLUCIONES EFECTIVAS LYG S.A.S"/>
        <s v="MEDINA FLOREZ MARIA CAMILA"/>
        <s v="LOPEZ TARAZONA SANTIAGO"/>
        <s v="BOTERO JIMENEZ SANDRA MILENA"/>
        <s v="OCAMPO GIRALDO DANIEL"/>
        <s v="PLATA TAMAYO DANIELA"/>
        <s v="CENTRO DE FORMACION Y CAPACITACION - CFC S.A.S"/>
        <s v="ALVAREZ ZAPATA VANESSA"/>
        <s v="COLORADO CORREA WILSON EDUARDO"/>
        <s v="BEDOYA GAVIRIA JHONNY STIBENT"/>
        <s v="CORRALES GARCIA ANDRES FELIPE"/>
        <s v="MONSALVE VALENCIA CLAUDIA XIMENA"/>
        <s v="BEDOYA NIETO DIEGO ALEJANDRO"/>
        <s v="GIRALDO CASTRO JAIRO"/>
        <s v="HERNANDEZ ZAPATA LUZ BIBIANA"/>
        <s v="CARDONA RAMIREZ MARGARITA"/>
        <s v="CATAÑO OSPINA CINDY CAROLINA"/>
        <s v="RUA TRUJILLO TATIANA"/>
        <s v="MORENO CASTIBLANCO REBEKA DEL MILAGRO"/>
        <s v="MORALES MORALES DIDIER ALBERTO"/>
        <s v="TORO MARULANDA LLAJAIRA ANDREA"/>
        <s v="ARENAS BONILLA JUAN STEVEN"/>
        <s v="ESTRADA ESQUIVEL LUCERO"/>
        <s v="ARAGON AVILA CLAUDIA MARCELA"/>
        <s v="CASTRO RODRIGUEZ JENNIFER"/>
        <s v="GOMEZ SALAZAR VALERIA"/>
        <s v="CARDENAS ZAPATA JHONNER ANDRES"/>
        <s v="LOPEZ MARIN RODRIGO"/>
        <s v="HINCAPIE VALENCIA JUAN CARLOS"/>
        <s v="TABARES GUTIERREZ ELINPSON"/>
        <s v="GONZALEZ RAMIREZ JULIO CESAR"/>
        <s v="HINCAPIE ALBARRACIN ALEJANDRA MARIA"/>
        <s v="RESTREPO DIANA JOHANA"/>
        <s v="AGUILERA GARCIA WUILDREY KATHERINE"/>
        <s v="ZAPATA DUQUE VIDAL ANTONIO"/>
        <s v="SALAZAR HOYOS YONI EDUARDO"/>
        <s v="SOLARTE BASANTE JOSÉ DANIEL"/>
        <s v="LONDOÑO BALLESTEROS GLORIA NANCY"/>
        <s v="LOPEZ VILLA CARLOS DANIEL"/>
        <s v="ECHEVERRI POSADA LILIANA PATRICIA"/>
        <s v="OSPINA LOPEZ NELSON ENRIQUE"/>
        <s v="ZULUAGA BOTINA JOHN SEBASTIAN"/>
        <s v="GONZALEZ BETANCOURTH WENDY DANIELA"/>
        <s v="RODRIGUEZ GIRALDO JUAN SEBASTIAN"/>
        <s v="MERCHAN BEDOYA CAROLINA"/>
        <s v="OROZCO TORO LEIDY DIANA"/>
        <s v="OSPINA REYES ALBEIRO"/>
        <s v="ACEVEDO GONZALEZ HUGO ARMANDO"/>
        <s v="URIBE RAMIREZ LUCIA VERONICA"/>
        <s v="HERNANDEZ SANCHEZ DIDIMO"/>
        <s v="JARAMILLO ZULUAGA MARIA EUGENIA"/>
        <s v="GONZALEZ COLMENAREZ JAVIER ALEXANDER"/>
        <s v="SANCHEZ COLORADO OSCAR"/>
        <s v="RODRIGUEZ RAMIREZ GUILLERMO OCTAVIO"/>
        <s v="VASQUEZ LONDOÑO JUAN MANUEL"/>
        <s v="CARDONA CARDONA ANA MARIELA"/>
        <s v="SERNA PELAEZ CRISTIAN CAMILO"/>
        <s v="MUÑOZ GALLEGO DIANA LORENA"/>
        <s v="AMARILES ZAMBRANO LESLIE"/>
        <s v="MONSALVE RAMIREZ MARIA CAMILA"/>
        <s v="LARA MURILLO SANDRA PATRICIA"/>
        <s v="CARDONA BERMUDEZ ELVIA CECILIA"/>
        <s v="VILLA TREJOS ANGELA MARIA"/>
        <s v="AYCP CONSULTORES INTEGRADOS SAS"/>
        <s v="LOAIZA ARCILA JESUS OSCAR"/>
        <s v="TREJOS VILLANEDA ARTURO"/>
        <s v="HENAO HENAO LAURA"/>
        <s v="BETANCOURT ALZATE LUZ ADRIANA"/>
        <s v="GARCIA GONZALEZ MANUELA"/>
        <s v="SOTO BEDOYA DANIELA"/>
        <s v="JARAMILLO OSPINA MANUELA"/>
        <s v="RAMIREZ ALZATE VICTOR JULIAN"/>
        <s v="MARIN DIAZ LINA MARIA"/>
        <s v="SALAZAR BENITEZ EDISABET"/>
        <s v="GOMEZ RAMIREZ ANDRES FELIPE"/>
        <s v="VIDAL SANCLEMENTE DELFINA"/>
        <s v="MUÑOZ LOPEZ YESICA MARIA"/>
        <s v="RANGEL BEDOYA GERSON STEVEN"/>
        <s v="DE LA CRUZ GONZALEZ WILBER SEGUNDO"/>
        <s v="PRADO JHON ALEXANDER"/>
        <s v="MOLINA AGUDELO JHONATAN"/>
        <s v="SALINAS ARTEAGA ANDRES DAVID"/>
        <s v="SANCHEZ FLOREZ DIANA MILENA"/>
        <s v="ECHAVARRIA VARGAS JAMES"/>
        <s v="CASTILLO BELTRAN JULIAN ESTEBAN"/>
        <s v="MENDOZA VALENCIA SEBASTIAN FARID"/>
        <s v="RIVERA RUIZ CYNTHIA"/>
        <s v="GAMBA DIAZ EVELYN"/>
        <s v="VALENCIA PUPIALES JULIAN FERNANDO"/>
        <s v="VARGAS GONZALEZ BRYAN"/>
        <s v="FR INVERSORA"/>
        <s v="HENAO CALVO WILSON"/>
        <s v="MEDINA VALENCIA ESTEFANIA"/>
        <s v="HERRERA CARDENAS ALBA INES"/>
        <s v="HERNANDEZ GARCIA DANIEL ALBERTO"/>
        <s v="RAMIREZ SANMIGUEL NATALIA"/>
        <s v="AVILA BLANDON LUISA TATIANA"/>
        <s v="HURTADO RIOS PLINIO"/>
        <s v="ILLERA SARMIENTO CAMILO"/>
        <s v="ERAZO PORTILLO OMAR MARTIN"/>
        <s v="MANRIQUE ZAMBRANO RONALD ALFREDO"/>
        <s v="ARANGO VELEZ OSCAR"/>
        <s v="GIRALDO JARAMILLO BEATRIZ ELENA"/>
        <s v="GUTIERREZ SALAZAR JEAN PIERRE"/>
        <s v="TOVAR PAVA JUAN SEBASTIAN"/>
        <s v="GRAJALES MEJIA BLANCA YEIMY"/>
        <s v="GALLEGO VILLEGAS MARIANA"/>
        <s v="VARGAS ACOSTA LEONARDO"/>
        <s v="VELASQUEZ MARIN DIANA MARIA"/>
        <s v="VARGAS GARCIA YHON ALEXANDER"/>
        <s v="URIBE PINEDA YOLANDA"/>
      </sharedItems>
    </cacheField>
    <cacheField name="Matriculados" numFmtId="0">
      <sharedItems containsSemiMixedTypes="0" containsString="0" containsNumber="1" containsInteger="1" minValue="1" maxValue="14"/>
    </cacheField>
    <cacheField name="Cod. Modelo" numFmtId="0">
      <sharedItems/>
    </cacheField>
    <cacheField name="Modelo" numFmtId="0">
      <sharedItems count="29">
        <s v="K3 CROSS GT LINE"/>
        <s v="K3 GT LINE"/>
        <s v="PICANTO VIBRANT"/>
        <s v="STONIC VIBRANT"/>
        <s v="SPORTAGE VIBRANT"/>
        <s v="K3 ZENITH"/>
        <s v="PICANTO ZENITH MT"/>
        <s v="SONET VIBRANT MT"/>
        <s v="K3 CROSS VIBRANT MT"/>
        <s v="K3 CROSS VIBRANT"/>
        <s v="SONET VIBRANT"/>
        <s v="K3 CROSS ZENITH"/>
        <s v="NIRO ZENITH"/>
        <s v="K3 DESIRE"/>
        <s v="WR-V EXL-A CVT"/>
        <s v="HR-V EXL-A"/>
        <s v="K3 VIBRANT"/>
        <s v="STONIC DESIRE"/>
        <s v="SPORTAGE ZENITH"/>
        <s v="SONET ZENITH"/>
        <s v="SELTOS VIBRANT"/>
        <s v="EKOTAXI"/>
        <s v="SORENTO ZENITH"/>
        <s v="SEPHIA"/>
        <s v="STONIC DESIRE MT"/>
        <s v="SOLUTO EMOTION"/>
        <s v="WKR TIGER DC 3.6"/>
        <s v="CR-V TOURING AWD"/>
        <s v="NIRO VIBRANT"/>
      </sharedItems>
    </cacheField>
    <cacheField name="VIN" numFmtId="0">
      <sharedItems/>
    </cacheField>
    <cacheField name="Valor Venta" numFmtId="164">
      <sharedItems containsSemiMixedTypes="0" containsString="0" containsNumber="1" containsInteger="1" minValue="44291575" maxValue="190074380"/>
    </cacheField>
    <cacheField name="Obsequios" numFmtId="164">
      <sharedItems containsSemiMixedTypes="0" containsString="0" containsNumber="1" containsInteger="1" minValue="83000" maxValue="5207000"/>
    </cacheField>
    <cacheField name="Costo Total" numFmtId="164">
      <sharedItems containsSemiMixedTypes="0" containsString="0" containsNumber="1" containsInteger="1" minValue="41856299" maxValue="171066942"/>
    </cacheField>
    <cacheField name="Costo iva" numFmtId="164">
      <sharedItems containsSemiMixedTypes="0" containsString="0" containsNumber="1" containsInteger="1" minValue="56250300" maxValue="229990000"/>
    </cacheField>
    <cacheField name="Margen" numFmtId="10">
      <sharedItems/>
    </cacheField>
    <cacheField name="Saldo Pendiente" numFmtId="164">
      <sharedItems containsSemiMixedTypes="0" containsString="0" containsNumber="1" containsInteger="1" minValue="0" maxValue="154883400"/>
    </cacheField>
    <cacheField name="Comision 100 %" numFmtId="164">
      <sharedItems containsSemiMixedTypes="0" containsString="0" containsNumber="1" minValue="182646" maxValue="1551181"/>
    </cacheField>
    <cacheField name="Comision Real" numFmtId="164">
      <sharedItems containsSemiMixedTypes="0" containsString="0" containsNumber="1" minValue="0" maxValue="1551181"/>
    </cacheField>
    <cacheField name="% Comision" numFmtId="10">
      <sharedItems containsSemiMixedTypes="0" containsString="0" containsNumber="1" minValue="3.9999958176639445E-3" maxValue="1.0000004372297824E-2"/>
    </cacheField>
    <cacheField name="Bono" numFmtId="164">
      <sharedItems containsNonDate="0" containsString="0" containsBlank="1"/>
    </cacheField>
    <cacheField name="OB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s v="2026/05/31"/>
    <s v="Mayo"/>
    <s v="Kia "/>
    <x v="0"/>
    <s v="ALVARO ANDRES LUGO ALONSO"/>
    <n v="883"/>
    <s v="VITRINA"/>
    <n v="27060442"/>
    <s v="VKA 120689"/>
    <s v="2026-05-14"/>
    <s v="1970-01-01"/>
    <s v="2026-05-29"/>
    <s v="FERNANDEZ RINCON CARMEN AYDE"/>
    <n v="8"/>
    <s v="2027BL1A70__25G1601"/>
    <s v="K3 CROSS GT LINE"/>
    <s v="3KPFD51ABVE176785"/>
    <n v="84047244"/>
    <n v="1761000"/>
    <n v="77595538"/>
    <n v="106740000"/>
    <s v="8%"/>
    <n v="0"/>
    <n v="714402"/>
    <n v="714402"/>
    <n v="8.5000050685778584E-3"/>
    <m/>
  </r>
  <r>
    <s v="2026/05/31"/>
    <s v="Mayo"/>
    <s v="Kia "/>
    <x v="0"/>
    <s v="ALVARO ANDRES LUGO ALONSO"/>
    <n v="883"/>
    <s v="VITRINA"/>
    <n v="27061576"/>
    <s v="VKA 120715"/>
    <s v="2026-05-25"/>
    <s v="1970-01-01"/>
    <s v="2026-05-28"/>
    <s v="PINEDA BELTRAN LUISA FERNANDA"/>
    <n v="8"/>
    <s v="2027BL1A70__25G1601"/>
    <s v="K3 CROSS GT LINE"/>
    <s v="3KPFD51ABVE196043"/>
    <n v="84047244"/>
    <n v="1784000"/>
    <n v="76151969"/>
    <n v="106740000"/>
    <s v="9%"/>
    <n v="13740000"/>
    <n v="714402"/>
    <m/>
    <n v="8.5000050685778584E-3"/>
    <m/>
  </r>
  <r>
    <s v="2026/05/31"/>
    <s v="Mayo"/>
    <s v="Kia "/>
    <x v="0"/>
    <s v="ALVARO ANDRES LUGO ALONSO"/>
    <n v="883"/>
    <s v="VITRINA"/>
    <n v="27078479"/>
    <s v="VKA 120714"/>
    <s v="2026-05-25"/>
    <s v="1970-01-01"/>
    <s v="2026-05-29"/>
    <s v="BELTRAN GALINDO LAURA VANESSA"/>
    <n v="8"/>
    <s v="2027BL1A70__25G1601"/>
    <s v="K3 CROSS GT LINE"/>
    <s v="3KPFD51ABVE196087"/>
    <n v="84047244"/>
    <n v="1784000"/>
    <n v="76151969"/>
    <n v="106740000"/>
    <s v="9%"/>
    <n v="97567000"/>
    <n v="714402"/>
    <m/>
    <n v="8.5000050685778584E-3"/>
    <m/>
  </r>
  <r>
    <s v="2026/05/31"/>
    <s v="Mayo"/>
    <s v="Kia "/>
    <x v="0"/>
    <s v="ALVARO ANDRES LUGO ALONSO"/>
    <n v="883"/>
    <s v="CENTRO COMERCIAL"/>
    <n v="27074731"/>
    <s v="VKA 120700"/>
    <s v="2026-05-22"/>
    <s v="2026-05-27"/>
    <s v="2026-05-25"/>
    <s v="MALDONADO CHICA LUIS FERNANDO"/>
    <n v="8"/>
    <s v="2027BL1A70__24G1601"/>
    <s v="K3 GT LINE"/>
    <s v="3KPFE41ABVE181403"/>
    <n v="81594646"/>
    <n v="1571000"/>
    <n v="76873753"/>
    <n v="103625200"/>
    <s v="6%"/>
    <n v="0"/>
    <n v="693554"/>
    <n v="693554"/>
    <n v="8.4999939824483093E-3"/>
    <m/>
  </r>
  <r>
    <s v="2026/05/31"/>
    <s v="Mayo"/>
    <s v="Kia "/>
    <x v="0"/>
    <s v="ALVARO ANDRES LUGO ALONSO"/>
    <n v="883"/>
    <s v="VITRINA"/>
    <n v="27077080"/>
    <s v="VKA 120708"/>
    <s v="2026-05-23"/>
    <s v="1970-01-01"/>
    <s v="2026-05-23"/>
    <s v="ARIAS CASTAÑO MANUELA"/>
    <n v="8"/>
    <s v="2027JA3M20__25G1002"/>
    <s v="PICANTO VIBRANT"/>
    <s v="KNAB2511AVT514181"/>
    <n v="45661417"/>
    <n v="667200"/>
    <n v="41856299"/>
    <n v="57990000"/>
    <s v="8%"/>
    <n v="0"/>
    <n v="388122"/>
    <n v="388122"/>
    <n v="8.4999990254354136E-3"/>
    <m/>
  </r>
  <r>
    <s v="2026/05/31"/>
    <s v="Mayo"/>
    <s v="Kia "/>
    <x v="0"/>
    <s v="ALVARO ANDRES LUGO ALONSO"/>
    <n v="883"/>
    <s v="VITRINA"/>
    <n v="27057856"/>
    <s v="VKA 120709"/>
    <s v="2026-05-23"/>
    <s v="1970-01-01"/>
    <s v="2026-05-23"/>
    <s v="TENJO RAMIREZ ANGUIE KATHERIN"/>
    <n v="8"/>
    <s v="2027JA3M20__25G1002"/>
    <s v="PICANTO VIBRANT"/>
    <s v="KNAB2511AVT514546"/>
    <n v="45661417"/>
    <n v="667200"/>
    <n v="41856299"/>
    <n v="57990000"/>
    <s v="8%"/>
    <n v="7151800"/>
    <n v="388122"/>
    <m/>
    <n v="8.4999990254354136E-3"/>
    <m/>
  </r>
  <r>
    <s v="2026/05/31"/>
    <s v="Mayo"/>
    <s v="Kia "/>
    <x v="0"/>
    <s v="ALVARO ANDRES LUGO ALONSO"/>
    <n v="883"/>
    <s v="CENTRO COMERCIAL"/>
    <n v="27053415"/>
    <s v="VKA 120688"/>
    <s v="2026-05-14"/>
    <s v="2026-05-28"/>
    <s v="2026-05-19"/>
    <s v="MURILLO RODRIGUEZ JHENNY"/>
    <n v="8"/>
    <s v="2027YB2A40__25H1001"/>
    <s v="STONIC VIBRANT"/>
    <s v="KNAD6817GVT109829"/>
    <n v="86506726"/>
    <n v="781200"/>
    <n v="85995047"/>
    <n v="97752600"/>
    <s v="1%"/>
    <n v="0"/>
    <n v="735307"/>
    <n v="735307"/>
    <n v="8.4999980232750919E-3"/>
    <m/>
  </r>
  <r>
    <s v="2026/05/31"/>
    <s v="Mayo"/>
    <s v="Kia "/>
    <x v="0"/>
    <s v="ALVARO ANDRES LUGO ALONSO"/>
    <n v="883"/>
    <s v="VITRINA"/>
    <n v="27053901"/>
    <s v="VKA 120686"/>
    <s v="2026-05-13"/>
    <s v="2026-05-25"/>
    <s v="2026-05-20"/>
    <s v="MANCILLA MARTINEZ LILIANA"/>
    <n v="8"/>
    <s v="2027NQ2A40__25H1600"/>
    <s v="SPORTAGE VIBRANT"/>
    <s v="KNAPU81GBV7364096"/>
    <n v="135130619"/>
    <n v="1041120"/>
    <n v="127425664"/>
    <n v="152697599"/>
    <s v="6%"/>
    <n v="0"/>
    <n v="1148610"/>
    <n v="1148610"/>
    <n v="8.499998064835328E-3"/>
    <m/>
  </r>
  <r>
    <s v="2026/05/31"/>
    <s v="Mayo"/>
    <s v="Kia "/>
    <x v="0"/>
    <s v="GUSTAVO ADOLFO RAMIREZ BECERRA"/>
    <n v="273"/>
    <s v="VITRINA"/>
    <n v="27084666"/>
    <s v="VKA 120721"/>
    <s v="2026-05-27"/>
    <s v="2026-05-30"/>
    <s v="2026-05-29"/>
    <s v="BERNAL CARDONA FACUNDO IGNACIO"/>
    <n v="4"/>
    <s v="2027BL1A60__24G1600"/>
    <s v="K3 ZENITH"/>
    <s v="3KPFC41ABVE183369"/>
    <n v="73811024"/>
    <n v="1751000"/>
    <n v="68212336"/>
    <n v="93740000"/>
    <s v="8%"/>
    <n v="0"/>
    <n v="369055"/>
    <n v="369055"/>
    <n v="4.9999983742265927E-3"/>
    <m/>
  </r>
  <r>
    <s v="2026/05/31"/>
    <s v="Mayo"/>
    <s v="Kia "/>
    <x v="0"/>
    <s v="GUSTAVO ADOLFO RAMIREZ BECERRA"/>
    <n v="273"/>
    <s v="VITRINA"/>
    <n v="27077853"/>
    <s v="VKA 120710"/>
    <s v="2026-05-25"/>
    <s v="1970-01-01"/>
    <s v="2026-05-25"/>
    <s v="TOBON BUITRAGO VALENTINA"/>
    <n v="4"/>
    <s v="2027JA3M20__25G1002"/>
    <s v="PICANTO VIBRANT"/>
    <s v="KNAB2511AVT514525"/>
    <n v="45661417"/>
    <n v="667200"/>
    <n v="41856299"/>
    <n v="57990000"/>
    <s v="8%"/>
    <n v="9729277"/>
    <n v="228307"/>
    <m/>
    <n v="4.9999981384721368E-3"/>
    <m/>
  </r>
  <r>
    <s v="2026/05/31"/>
    <s v="Mayo"/>
    <s v="Kia "/>
    <x v="0"/>
    <s v="GUSTAVO ADOLFO RAMIREZ BECERRA"/>
    <n v="273"/>
    <s v="VITRINA"/>
    <n v="27071138"/>
    <s v="VKA 120701"/>
    <s v="2026-05-23"/>
    <s v="1970-01-01"/>
    <s v="2026-05-28"/>
    <s v="SAAVEDRA SUAREZ MARIA DEL PILAR"/>
    <n v="4"/>
    <s v="2027JA3M20__25G1002"/>
    <s v="PICANTO VIBRANT"/>
    <s v="KNAB2511AVT514560"/>
    <n v="45661417"/>
    <n v="667200"/>
    <n v="41856299"/>
    <n v="57990000"/>
    <s v="8%"/>
    <n v="0"/>
    <n v="228307"/>
    <n v="228307"/>
    <n v="4.9999981384721368E-3"/>
    <m/>
  </r>
  <r>
    <s v="2026/05/31"/>
    <s v="Mayo"/>
    <s v="Kia "/>
    <x v="0"/>
    <s v="GUSTAVO ADOLFO RAMIREZ BECERRA"/>
    <n v="273"/>
    <s v="VITRINA"/>
    <n v="27048073"/>
    <s v="VKA 120685"/>
    <s v="2026-05-12"/>
    <s v="2026-05-19"/>
    <s v="2026-05-19"/>
    <s v="SAAVEDRA LOPEZ STEPHANIE"/>
    <n v="4"/>
    <s v="2027YB2A40__25H1001"/>
    <s v="STONIC VIBRANT"/>
    <s v="KNAD6817GVT109589"/>
    <n v="87380531"/>
    <n v="735600"/>
    <n v="85995047"/>
    <n v="98740000"/>
    <s v="2%"/>
    <n v="0"/>
    <n v="436903"/>
    <n v="436903"/>
    <n v="5.0000039482479223E-3"/>
    <m/>
  </r>
  <r>
    <s v="2026/05/31"/>
    <s v="Mayo"/>
    <s v="Kia "/>
    <x v="0"/>
    <s v="JAIME ALBERTO OSPINA"/>
    <n v="753"/>
    <s v="VITRINA"/>
    <n v="27071019"/>
    <s v="VKA 120695"/>
    <s v="2026-05-21"/>
    <s v="1970-01-01"/>
    <s v="2026-05-26"/>
    <s v="PRADA ALVARO"/>
    <n v="2"/>
    <s v="2027JA3M45__25G1202"/>
    <s v="PICANTO ZENITH MT"/>
    <s v="KNAB2512AVT513540"/>
    <n v="51763780"/>
    <n v="667200"/>
    <n v="46908793"/>
    <n v="65740001"/>
    <s v="9%"/>
    <n v="0"/>
    <n v="258819"/>
    <n v="258819"/>
    <n v="5.000001931852736E-3"/>
    <m/>
  </r>
  <r>
    <s v="2026/05/31"/>
    <s v="Mayo"/>
    <s v="Kia "/>
    <x v="0"/>
    <s v="JAIME ALBERTO OSPINA"/>
    <n v="753"/>
    <s v="VITRINA"/>
    <n v="27072421"/>
    <s v="VKA 120702"/>
    <s v="2026-05-23"/>
    <s v="2026-05-23"/>
    <s v="2026-05-29"/>
    <s v="HIDALGO ARCILA JOHANNA ANDREA"/>
    <n v="2"/>
    <s v="2027QY2M35__25G1503"/>
    <s v="SONET VIBRANT MT"/>
    <s v="LJD3BA1DAV0092709"/>
    <n v="70149606"/>
    <n v="781200"/>
    <n v="64953412"/>
    <n v="89090000"/>
    <s v="7%"/>
    <n v="0"/>
    <n v="350748"/>
    <n v="350748"/>
    <n v="4.9999995723425733E-3"/>
    <m/>
  </r>
  <r>
    <s v="2026/05/31"/>
    <s v="Mayo"/>
    <s v="Kia "/>
    <x v="0"/>
    <s v="JOHAN SEBASTIAN BENITO MURCIA"/>
    <n v="951"/>
    <s v="PLAYA DE VENTAS"/>
    <n v="27066874"/>
    <s v="VKA 120713"/>
    <s v="2026-05-25"/>
    <s v="1970-01-01"/>
    <s v="2026-05-25"/>
    <s v="BENAVIDES GOMEZ JUAN DAVID"/>
    <n v="8"/>
    <s v="2027BL1M40__25G1600"/>
    <s v="K3 CROSS VIBRANT MT"/>
    <s v="3KPFF51AAVE194220"/>
    <n v="62000000"/>
    <n v="1464000"/>
    <n v="58107349"/>
    <n v="78740000"/>
    <s v="6%"/>
    <n v="0"/>
    <n v="527000"/>
    <n v="527000"/>
    <n v="8.5000000000000006E-3"/>
    <m/>
  </r>
  <r>
    <s v="2026/05/31"/>
    <s v="Mayo"/>
    <s v="Kia "/>
    <x v="0"/>
    <s v="JOHAN SEBASTIAN BENITO MURCIA"/>
    <n v="951"/>
    <s v="PLAYA DE VENTAS"/>
    <n v="27069237"/>
    <s v="VKA 120699"/>
    <s v="2026-05-21"/>
    <s v="1970-01-01"/>
    <s v="2026-05-28"/>
    <s v="LARA VALENCIA LEIDY MARCELA"/>
    <n v="8"/>
    <s v="2027BL1A40__25G1600"/>
    <s v="K3 CROSS VIBRANT"/>
    <s v="3KPFF51ABVE180583"/>
    <n v="67779528"/>
    <n v="1431000"/>
    <n v="64603412"/>
    <n v="86080001"/>
    <s v="5%"/>
    <n v="0"/>
    <n v="576126"/>
    <n v="576126"/>
    <n v="8.5000001770446088E-3"/>
    <m/>
  </r>
  <r>
    <s v="2026/05/31"/>
    <s v="Mayo"/>
    <s v="Kia "/>
    <x v="0"/>
    <s v="JOHAN SEBASTIAN BENITO MURCIA"/>
    <n v="951"/>
    <s v="VITRINA"/>
    <n v="26975402"/>
    <s v="VKA 120704"/>
    <s v="2026-05-23"/>
    <s v="1970-01-01"/>
    <s v="2026-05-29"/>
    <s v="GARCIA PINO PAULA ANDREA"/>
    <n v="8"/>
    <s v="2027JA3M20__25G1002"/>
    <s v="PICANTO VIBRANT"/>
    <s v="KNAB2511AVT514508"/>
    <n v="45661417"/>
    <n v="667200"/>
    <n v="41856299"/>
    <n v="57990000"/>
    <s v="8%"/>
    <n v="57990000"/>
    <n v="388122"/>
    <m/>
    <n v="8.4999990254354136E-3"/>
    <m/>
  </r>
  <r>
    <s v="2026/05/31"/>
    <s v="Mayo"/>
    <s v="Kia "/>
    <x v="0"/>
    <s v="JOHAN SEBASTIAN BENITO MURCIA"/>
    <n v="951"/>
    <s v="VITRINA"/>
    <n v="27045487"/>
    <s v="VKA 120707"/>
    <s v="2026-05-23"/>
    <s v="1970-01-01"/>
    <s v="2026-05-29"/>
    <s v="LADINO LONDOÑO MARIA DEL PILAR"/>
    <n v="8"/>
    <s v="2027JA3M20__25G1002"/>
    <s v="PICANTO VIBRANT"/>
    <s v="KNAB2511AVT514588"/>
    <n v="45661417"/>
    <n v="667200"/>
    <n v="41856299"/>
    <n v="57990000"/>
    <s v="8%"/>
    <n v="49221800"/>
    <n v="388122"/>
    <m/>
    <n v="8.4999990254354136E-3"/>
    <m/>
  </r>
  <r>
    <s v="2026/05/31"/>
    <s v="Mayo"/>
    <s v="Kia "/>
    <x v="0"/>
    <s v="JOHAN SEBASTIAN BENITO MURCIA"/>
    <n v="951"/>
    <s v="VITRINA"/>
    <n v="23144299"/>
    <s v="VKA 120705"/>
    <s v="2026-05-23"/>
    <s v="1970-01-01"/>
    <s v="2026-05-29"/>
    <s v="TABORDA OROZCO MARTHA LILIANA"/>
    <n v="8"/>
    <s v="2027JA3M20__25G1002"/>
    <s v="PICANTO VIBRANT"/>
    <s v="KNAB2511AVT514596"/>
    <n v="45661417"/>
    <n v="667200"/>
    <n v="41856299"/>
    <n v="57990000"/>
    <s v="8%"/>
    <n v="0"/>
    <n v="388122"/>
    <n v="388122"/>
    <n v="8.4999990254354136E-3"/>
    <m/>
  </r>
  <r>
    <s v="2026/05/31"/>
    <s v="Mayo"/>
    <s v="Kia "/>
    <x v="0"/>
    <s v="JOHAN SEBASTIAN BENITO MURCIA"/>
    <n v="951"/>
    <s v="CAMPAÑA CETA"/>
    <n v="23115575"/>
    <s v="VKA 120692"/>
    <s v="2026-05-21"/>
    <s v="1970-01-01"/>
    <s v="2026-05-21"/>
    <s v="GARCIA MORALES JAMES ANDRES"/>
    <n v="8"/>
    <s v="2027JA3M45__25G1202"/>
    <s v="PICANTO ZENITH MT"/>
    <s v="KNAB2512AVT514054"/>
    <n v="50211024"/>
    <n v="667200"/>
    <n v="46908793"/>
    <n v="63768000"/>
    <s v="7%"/>
    <n v="3068000"/>
    <n v="426794"/>
    <m/>
    <n v="8.5000058951197645E-3"/>
    <m/>
  </r>
  <r>
    <s v="2026/05/31"/>
    <s v="Mayo"/>
    <s v="Kia "/>
    <x v="0"/>
    <s v="JOHAN SEBASTIAN BENITO MURCIA"/>
    <n v="951"/>
    <s v="CAMPAÑA CETA"/>
    <n v="23158391"/>
    <s v="VKA 120691"/>
    <s v="2026-05-21"/>
    <s v="1970-01-01"/>
    <s v="2026-05-21"/>
    <s v="HIGUERA ZARAZA JHON MILLER"/>
    <n v="8"/>
    <s v="2027JA3M45__25G1202"/>
    <s v="PICANTO ZENITH MT"/>
    <s v="KNAB2512AVT514056"/>
    <n v="51763780"/>
    <n v="667200"/>
    <n v="46908793"/>
    <n v="65740001"/>
    <s v="9%"/>
    <n v="1574001"/>
    <n v="439992"/>
    <m/>
    <n v="8.4999974885914438E-3"/>
    <m/>
  </r>
  <r>
    <s v="2026/05/31"/>
    <s v="Mayo"/>
    <s v="Kia "/>
    <x v="0"/>
    <s v="JOHAN SEBASTIAN BENITO MURCIA"/>
    <n v="951"/>
    <s v="VITRINA"/>
    <n v="27015332"/>
    <s v="VKA 120673"/>
    <s v="2026-04-22"/>
    <s v="2026-05-30"/>
    <s v="2026-05-29"/>
    <s v="TAPIA GUERRERO JULIO CESAR"/>
    <n v="8"/>
    <s v="2027QY2A35__25G1503"/>
    <s v="SONET VIBRANT"/>
    <s v="LJD3BA1DEV0090810"/>
    <n v="76960630"/>
    <n v="1454000"/>
    <n v="73013970"/>
    <n v="97740000"/>
    <s v="5%"/>
    <n v="0"/>
    <n v="654165"/>
    <n v="654165"/>
    <n v="8.499995387251897E-3"/>
    <m/>
  </r>
  <r>
    <s v="2026/05/31"/>
    <s v="Mayo"/>
    <s v="Kia "/>
    <x v="0"/>
    <s v="PIEDAD NATALIA VILLEGAS CAMPO"/>
    <n v="123"/>
    <s v="VITRINA"/>
    <n v="26986704"/>
    <s v="VKA 120659"/>
    <s v="2026-04-10"/>
    <s v="2026-05-11"/>
    <s v="2026-05-07"/>
    <s v="VALENCIA JAIMES SINDY TATIANA"/>
    <n v="11"/>
    <s v="2027BL1A70__25G1601"/>
    <s v="K3 CROSS GT LINE"/>
    <s v="3KPFD51ABVE180098"/>
    <n v="83986299"/>
    <n v="1431000"/>
    <n v="77595538"/>
    <n v="106662600"/>
    <s v="8%"/>
    <n v="0"/>
    <n v="713884"/>
    <n v="713884"/>
    <n v="8.5000054592237716E-3"/>
    <m/>
  </r>
  <r>
    <s v="2026/05/31"/>
    <s v="Mayo"/>
    <s v="Kia "/>
    <x v="0"/>
    <s v="PIEDAD NATALIA VILLEGAS CAMPO"/>
    <n v="123"/>
    <s v="VITRINA"/>
    <n v="27078263"/>
    <s v="VKA 120716"/>
    <s v="2026-05-25"/>
    <s v="1970-01-01"/>
    <s v="2026-05-28"/>
    <s v="PALACIO MERCADO MAYKELLY"/>
    <n v="11"/>
    <s v="2027BL1A70__25G1601"/>
    <s v="K3 CROSS GT LINE"/>
    <s v="3KPFD51ABVE196065"/>
    <n v="84047244"/>
    <n v="1834000"/>
    <n v="76151969"/>
    <n v="106740000"/>
    <s v="9%"/>
    <n v="0"/>
    <n v="714402"/>
    <n v="714402"/>
    <n v="8.5000050685778584E-3"/>
    <m/>
  </r>
  <r>
    <s v="2026/05/31"/>
    <s v="Mayo"/>
    <s v="Kia "/>
    <x v="0"/>
    <s v="PIEDAD NATALIA VILLEGAS CAMPO"/>
    <n v="123"/>
    <s v="VITRINA"/>
    <n v="27051475"/>
    <s v="VKA 120717"/>
    <s v="2026-05-25"/>
    <s v="1970-01-01"/>
    <s v="2026-05-28"/>
    <s v="GRANADOS MEZA JORGE ALBERTO"/>
    <n v="11"/>
    <s v="2027BL1M40__25G1600"/>
    <s v="K3 CROSS VIBRANT MT"/>
    <s v="3KPFF51AAVE194092"/>
    <n v="63771654"/>
    <n v="1834000"/>
    <n v="58107349"/>
    <n v="80990001"/>
    <s v="9%"/>
    <n v="0"/>
    <n v="542059"/>
    <n v="542059"/>
    <n v="8.4999990748240595E-3"/>
    <m/>
  </r>
  <r>
    <s v="2026/05/31"/>
    <s v="Mayo"/>
    <s v="Kia "/>
    <x v="0"/>
    <s v="PIEDAD NATALIA VILLEGAS CAMPO"/>
    <n v="123"/>
    <s v="REFERIDO"/>
    <n v="27073841"/>
    <s v="VKA 120711"/>
    <s v="2026-05-25"/>
    <s v="2026-06-02"/>
    <s v="2026-05-28"/>
    <s v="ROJAS QUINTERO JUAN DIEGO"/>
    <n v="11"/>
    <s v="2027BL1A60__25G1601"/>
    <s v="K3 CROSS ZENITH"/>
    <s v="3KPFF51ABVE180497"/>
    <n v="75385827"/>
    <n v="1751000"/>
    <n v="69655906"/>
    <n v="95740000"/>
    <s v="8%"/>
    <n v="0"/>
    <n v="640780"/>
    <n v="640780"/>
    <n v="8.5000062412262187E-3"/>
    <m/>
  </r>
  <r>
    <s v="2026/05/31"/>
    <s v="Mayo"/>
    <s v="Kia "/>
    <x v="0"/>
    <s v="PIEDAD NATALIA VILLEGAS CAMPO"/>
    <n v="123"/>
    <s v="REFERIDO"/>
    <n v="27051041"/>
    <s v="VKA 120690"/>
    <s v="2026-05-20"/>
    <s v="2026-05-27"/>
    <s v="2026-05-25"/>
    <s v="BERNAL GALLEGO FERNEY"/>
    <n v="11"/>
    <s v="2027BL1A40__25G1600"/>
    <s v="K3 CROSS VIBRANT"/>
    <s v="3KPFF51ABVE181011"/>
    <n v="67777795"/>
    <n v="1461000"/>
    <n v="64603412"/>
    <n v="86077800"/>
    <s v="5%"/>
    <n v="0"/>
    <n v="576111"/>
    <n v="576111"/>
    <n v="8.4999962008206371E-3"/>
    <m/>
  </r>
  <r>
    <s v="2026/05/31"/>
    <s v="Mayo"/>
    <s v="Kia "/>
    <x v="0"/>
    <s v="PIEDAD NATALIA VILLEGAS CAMPO"/>
    <n v="123"/>
    <s v="VITRINA"/>
    <n v="27062073"/>
    <s v="VKA 120703"/>
    <s v="2026-05-23"/>
    <s v="1970-01-01"/>
    <s v="2026-05-28"/>
    <s v="SANCHEZ VARGAS LYDY YOVANA"/>
    <n v="11"/>
    <s v="2027JA3M20__25G1002"/>
    <s v="PICANTO VIBRANT"/>
    <s v="KNAB2511AVT514509"/>
    <n v="45661417"/>
    <n v="667200"/>
    <n v="41856299"/>
    <n v="57990000"/>
    <s v="8%"/>
    <n v="9990000"/>
    <n v="388122"/>
    <m/>
    <n v="8.4999990254354136E-3"/>
    <m/>
  </r>
  <r>
    <s v="2026/05/31"/>
    <s v="Mayo"/>
    <s v="Kia "/>
    <x v="0"/>
    <s v="PIEDAD NATALIA VILLEGAS CAMPO"/>
    <n v="123"/>
    <s v="MARCA"/>
    <n v="27062147"/>
    <s v="VKA 120696"/>
    <s v="2026-05-21"/>
    <s v="1970-01-01"/>
    <s v="2026-05-26"/>
    <s v="MARULANDA VALENCIA JOSE ALBEIRO"/>
    <n v="11"/>
    <s v="2027JA3M20__25G1002"/>
    <s v="PICANTO VIBRANT"/>
    <s v="KNAB2511AVT514597"/>
    <n v="44291575"/>
    <n v="667200"/>
    <n v="41856299"/>
    <n v="56250300"/>
    <s v="5%"/>
    <n v="931400"/>
    <n v="376478"/>
    <m/>
    <n v="8.49999125115781E-3"/>
    <m/>
  </r>
  <r>
    <s v="2026/05/31"/>
    <s v="Mayo"/>
    <s v="Kia "/>
    <x v="0"/>
    <s v="PIEDAD NATALIA VILLEGAS CAMPO"/>
    <n v="123"/>
    <s v="REFERIDO"/>
    <n v="27070811"/>
    <s v="VKA 120694"/>
    <s v="2026-05-21"/>
    <s v="1970-01-01"/>
    <s v="2026-05-28"/>
    <s v="GOMEZ LOPEZ MIRIAM"/>
    <n v="11"/>
    <s v="2027JA3M45__25G1202"/>
    <s v="PICANTO ZENITH MT"/>
    <s v="KNAB2512AVT512984"/>
    <n v="51763780"/>
    <n v="667200"/>
    <n v="46908793"/>
    <n v="65740001"/>
    <s v="9%"/>
    <n v="12496161"/>
    <n v="439992"/>
    <m/>
    <n v="8.4999974885914438E-3"/>
    <m/>
  </r>
  <r>
    <s v="2026/05/31"/>
    <s v="Mayo"/>
    <s v="Kia "/>
    <x v="0"/>
    <s v="PIEDAD NATALIA VILLEGAS CAMPO"/>
    <n v="123"/>
    <s v="AGENCIA PUBLICIDAD"/>
    <n v="27044041"/>
    <s v="VKA 120684"/>
    <s v="2026-05-07"/>
    <s v="2026-05-20"/>
    <s v="2026-05-12"/>
    <s v="HERNANDEZ CERON JOSE VICENTE"/>
    <n v="11"/>
    <s v="2027SG1A62__25H1600"/>
    <s v="NIRO ZENITH"/>
    <s v="KNACR81EGV5341156"/>
    <n v="127245664"/>
    <n v="2054000"/>
    <n v="125832743"/>
    <n v="143787600"/>
    <s v="1%"/>
    <n v="0"/>
    <n v="1081588"/>
    <n v="1081588"/>
    <n v="8.4999988683307909E-3"/>
    <m/>
  </r>
  <r>
    <s v="2026/05/31"/>
    <s v="Mayo"/>
    <s v="Kia "/>
    <x v="0"/>
    <s v="PIEDAD NATALIA VILLEGAS CAMPO"/>
    <n v="123"/>
    <s v="VITRINA"/>
    <n v="27067099"/>
    <s v="VKA 120693"/>
    <s v="2026-05-21"/>
    <s v="2026-06-02"/>
    <s v="2026-05-28"/>
    <s v="MARTINEZ ECHEVERRY DIEGO MAURICIO"/>
    <n v="11"/>
    <s v="2027NQ2A40__25H1600"/>
    <s v="SPORTAGE VIBRANT"/>
    <s v="KNAPU81GBV7361593"/>
    <n v="134448142"/>
    <n v="951200"/>
    <n v="127425664"/>
    <n v="151926400"/>
    <s v="5%"/>
    <n v="0"/>
    <n v="1142809"/>
    <n v="1142809"/>
    <n v="8.499998460372922E-3"/>
    <m/>
  </r>
  <r>
    <s v="2026/05/31"/>
    <s v="Mayo"/>
    <s v="Kia "/>
    <x v="0"/>
    <s v="PIEDAD NATALIA VILLEGAS CAMPO"/>
    <n v="123"/>
    <s v="VITRINA"/>
    <n v="27078022"/>
    <s v="VKA 120720"/>
    <s v="2026-05-26"/>
    <s v="1970-01-01"/>
    <s v="2026-05-28"/>
    <s v="GRAJALES ROJAS PAOLA ANDREA"/>
    <n v="11"/>
    <s v="2027NQ2A40__25H1600"/>
    <s v="SPORTAGE VIBRANT"/>
    <s v="KNAPU81GBV7386516"/>
    <n v="134448142"/>
    <n v="781200"/>
    <n v="121850442"/>
    <n v="151926400"/>
    <s v="9%"/>
    <n v="0"/>
    <n v="1142809"/>
    <n v="571404.5"/>
    <n v="8.499998460372922E-3"/>
    <m/>
  </r>
  <r>
    <s v="2026/05/31"/>
    <s v="Mayo"/>
    <s v="Kia "/>
    <x v="0"/>
    <s v="RICARDO SNEYDER MORA RUBIO"/>
    <n v="1075"/>
    <s v="CONTACTO TELEFONICO"/>
    <n v="27078092"/>
    <s v="VKA 120712"/>
    <s v="2026-05-25"/>
    <s v="1970-01-01"/>
    <s v="2026-05-25"/>
    <s v="RODRIGUEZ RESTREPO GIULIANO"/>
    <n v="6"/>
    <s v="2027BL1M30__24G1600"/>
    <s v="K3 DESIRE"/>
    <s v="3KPFC41AAVE197238"/>
    <n v="62984252"/>
    <n v="1784000"/>
    <n v="57385564"/>
    <n v="79990000"/>
    <s v="9%"/>
    <n v="1990000"/>
    <n v="440890"/>
    <m/>
    <n v="7.0000037469683694E-3"/>
    <m/>
  </r>
  <r>
    <s v="2026/05/31"/>
    <s v="Mayo"/>
    <s v="Kia "/>
    <x v="0"/>
    <s v="RICARDO SNEYDER MORA RUBIO"/>
    <n v="1075"/>
    <s v="VITRINA"/>
    <n v="27045802"/>
    <s v="VKA 120719"/>
    <s v="2026-05-26"/>
    <s v="1970-01-01"/>
    <s v="2026-05-28"/>
    <s v="RIASCOS VIVEROS LEONARDO"/>
    <n v="6"/>
    <s v="2027BL1M40__25G1600"/>
    <s v="K3 CROSS VIBRANT MT"/>
    <s v="3KPFF51AAVE194098"/>
    <n v="63771654"/>
    <n v="1785000"/>
    <n v="58107349"/>
    <n v="80990001"/>
    <s v="9%"/>
    <n v="0"/>
    <n v="446402"/>
    <n v="446402"/>
    <n v="7.0000066173601209E-3"/>
    <m/>
  </r>
  <r>
    <s v="2026/05/31"/>
    <s v="Mayo"/>
    <s v="Kia "/>
    <x v="0"/>
    <s v="RICARDO SNEYDER MORA RUBIO"/>
    <n v="1075"/>
    <s v="PLAYA DE VENTAS"/>
    <n v="27040135"/>
    <s v="VKA 120687"/>
    <s v="2026-05-13"/>
    <s v="2026-05-22"/>
    <s v="2026-05-21"/>
    <s v="CASTAÑO SANZ LUIS ALBERTO"/>
    <n v="6"/>
    <s v="2027BL1A60__25G1601"/>
    <s v="K3 CROSS ZENITH"/>
    <s v="3KPFF51ABVE180506"/>
    <n v="75385827"/>
    <n v="1781000"/>
    <n v="69655906"/>
    <n v="95740000"/>
    <s v="8%"/>
    <n v="0"/>
    <n v="527701"/>
    <n v="527701"/>
    <n v="7.0000027989346059E-3"/>
    <m/>
  </r>
  <r>
    <s v="2026/05/31"/>
    <s v="Mayo"/>
    <s v="Kia "/>
    <x v="0"/>
    <s v="RICARDO SNEYDER MORA RUBIO"/>
    <n v="1075"/>
    <s v="MARCA"/>
    <n v="27021427"/>
    <s v="VKA 120706"/>
    <s v="2026-05-23"/>
    <s v="1970-01-01"/>
    <s v="2026-05-23"/>
    <s v="LEOPARDO METAUTE NOE"/>
    <n v="6"/>
    <s v="2027JA3M20__25G1002"/>
    <s v="PICANTO VIBRANT"/>
    <s v="KNAB2511AVT514138"/>
    <n v="45661417"/>
    <n v="667200"/>
    <n v="41856299"/>
    <n v="57990000"/>
    <s v="8%"/>
    <n v="56992886"/>
    <n v="319630"/>
    <m/>
    <n v="7.0000017739265518E-3"/>
    <m/>
  </r>
  <r>
    <s v="2026/05/31"/>
    <s v="Mayo"/>
    <s v="Kia "/>
    <x v="0"/>
    <s v="RICARDO SNEYDER MORA RUBIO"/>
    <n v="1075"/>
    <s v="FERIA AUTOMOTRIZ"/>
    <n v="27046632"/>
    <s v="VKA 120697"/>
    <s v="2026-05-21"/>
    <s v="1970-01-01"/>
    <s v="2026-05-28"/>
    <s v="CARMONA ORTEGA LUZ ADRIANA"/>
    <n v="6"/>
    <s v="2027JA3M45__25G1202"/>
    <s v="PICANTO ZENITH MT"/>
    <s v="KNAB2512AVT514055"/>
    <n v="51763780"/>
    <n v="668200"/>
    <n v="46908793"/>
    <n v="65740001"/>
    <s v="9%"/>
    <n v="2800301"/>
    <n v="362346"/>
    <m/>
    <n v="6.9999911134774164E-3"/>
    <m/>
  </r>
  <r>
    <s v="2026/05/31"/>
    <s v="Mayo"/>
    <s v="Kia "/>
    <x v="0"/>
    <s v="RICARDO SNEYDER MORA RUBIO"/>
    <n v="1075"/>
    <s v="VITRINA"/>
    <n v="27060946"/>
    <s v="VKA 120698"/>
    <s v="2026-05-21"/>
    <s v="2026-05-29"/>
    <s v="2026-05-25"/>
    <s v="COLORADO PAMPLONA FABIAN ARLEY"/>
    <n v="6"/>
    <s v="2027YB2A40__25H1001"/>
    <s v="STONIC VIBRANT"/>
    <s v="KNAD6817GVT109475"/>
    <n v="86506726"/>
    <n v="1082800"/>
    <n v="85995047"/>
    <n v="97752600"/>
    <s v="1%"/>
    <n v="0"/>
    <n v="605547"/>
    <n v="605547"/>
    <n v="6.9999990520968275E-3"/>
    <m/>
  </r>
  <r>
    <s v="2026/05/31"/>
    <s v="Mayo"/>
    <s v="Honda "/>
    <x v="1"/>
    <s v="SANTIAGO ALZATE LEZCANO"/>
    <n v="901"/>
    <s v="VITRINA"/>
    <n v="27085810"/>
    <s v="VKA 120722"/>
    <s v="2026-05-28"/>
    <s v="1970-01-01"/>
    <s v="2026-05-29"/>
    <s v="MEDINA DELGADILLO ANGELA BEATRIZ"/>
    <n v="3"/>
    <s v="2026WR-V PRESTIGE"/>
    <s v="WR-V EXL-A CVT"/>
    <s v="93HDG5840TK502724"/>
    <n v="89448819"/>
    <n v="83000"/>
    <n v="83302756"/>
    <n v="113600000"/>
    <s v="7%"/>
    <n v="113600000"/>
    <n v="894488"/>
    <m/>
    <n v="9.9999978758802833E-3"/>
    <m/>
  </r>
  <r>
    <s v="2026/05/31"/>
    <s v="Mayo"/>
    <s v="Honda "/>
    <x v="1"/>
    <s v="SANTIAGO ALZATE LEZCANO"/>
    <n v="901"/>
    <s v="VITRINA"/>
    <n v="27079715"/>
    <s v="VKA 120718"/>
    <s v="2026-05-25"/>
    <s v="1970-01-01"/>
    <s v="2026-05-29"/>
    <s v="BEDOYA GALLEGO LUZ ELENA"/>
    <n v="3"/>
    <s v="2026WR-V PRESTIGE"/>
    <s v="WR-V EXL-A CVT"/>
    <s v="93HDG5840TK502796"/>
    <n v="91338583"/>
    <n v="1605000"/>
    <n v="83302756"/>
    <n v="116000000"/>
    <s v="9%"/>
    <n v="91000000"/>
    <n v="913386"/>
    <m/>
    <n v="1.000000186120689E-2"/>
    <m/>
  </r>
  <r>
    <s v="2026/05/31"/>
    <s v="Mayo"/>
    <s v="Honda "/>
    <x v="1"/>
    <s v="SANTIAGO ALZATE LEZCANO"/>
    <n v="901"/>
    <s v="VITRINA"/>
    <n v="27032004"/>
    <s v="VKA 120683"/>
    <s v="2026-04-30"/>
    <s v="2026-05-14"/>
    <s v="2026-05-07"/>
    <s v="ECHEVERRY CASTRILLON LIBARDO LEON"/>
    <n v="3"/>
    <s v="2026HR-V EXL PRESTIGE 2WD"/>
    <s v="HR-V EXL-A"/>
    <s v="93HRV3860TK302737"/>
    <n v="95275591"/>
    <n v="83000"/>
    <n v="89495276"/>
    <n v="121000001"/>
    <s v="6%"/>
    <n v="0"/>
    <n v="952756"/>
    <n v="952756"/>
    <n v="1.0000000944628095E-2"/>
    <m/>
  </r>
  <r>
    <s v="2026/05/31"/>
    <s v="Mayo"/>
    <s v="Kia "/>
    <x v="2"/>
    <s v="ANDRES FELIPE RODRIGUEZ LONDOÑO"/>
    <n v="959"/>
    <s v="VITRINA"/>
    <n v="27085570"/>
    <s v="VKC 70263"/>
    <s v="2026-05-27"/>
    <s v="1970-01-01"/>
    <s v="2026-05-29"/>
    <s v="GRAJALES CARDONA JHOAN SEBASTIAN"/>
    <n v="8"/>
    <s v="2027BL1A40__24G1600"/>
    <s v="K3 VIBRANT"/>
    <s v="3KPFC41ABVE188527"/>
    <n v="66323150"/>
    <n v="1431000"/>
    <n v="63159842"/>
    <n v="84230400"/>
    <s v="5%"/>
    <n v="64949400"/>
    <n v="563747"/>
    <m/>
    <n v="8.5000033924806043E-3"/>
    <m/>
  </r>
  <r>
    <s v="2026/05/31"/>
    <s v="Mayo"/>
    <s v="Kia "/>
    <x v="2"/>
    <s v="ANDRES FELIPE RODRIGUEZ LONDOÑO"/>
    <n v="959"/>
    <s v="VITRINA"/>
    <n v="27086441"/>
    <s v="VKC 70264"/>
    <s v="2026-05-28"/>
    <s v="1970-01-01"/>
    <s v="2026-05-29"/>
    <s v="GARZON SANZ WILMER"/>
    <n v="8"/>
    <s v="2027BL1A60__25G1601"/>
    <s v="K3 CROSS ZENITH"/>
    <s v="3KPFF51ABVE195336"/>
    <n v="73878110"/>
    <n v="1934000"/>
    <n v="68212336"/>
    <n v="93825200"/>
    <s v="8%"/>
    <n v="3485200"/>
    <n v="627964"/>
    <m/>
    <n v="8.5000008798275968E-3"/>
    <m/>
  </r>
  <r>
    <s v="2026/05/31"/>
    <s v="Mayo"/>
    <s v="Kia "/>
    <x v="2"/>
    <s v="ANDRES FELIPE RODRIGUEZ LONDOÑO"/>
    <n v="959"/>
    <s v="VITRINA"/>
    <n v="27088782"/>
    <s v="VKC 70267"/>
    <s v="2026-05-29"/>
    <s v="1970-01-01"/>
    <s v="2026-05-30"/>
    <s v="VALDERRAMA GUTIERREZ DARWIN HAMITH"/>
    <n v="8"/>
    <s v="2027BL1A60__25G1601"/>
    <s v="K3 CROSS ZENITH"/>
    <s v="3KPFF51ABVE195554"/>
    <n v="73501181"/>
    <n v="1604000"/>
    <n v="68212336"/>
    <n v="93346500"/>
    <s v="7%"/>
    <n v="93346500"/>
    <n v="624760"/>
    <m/>
    <n v="8.4999994761988922E-3"/>
    <m/>
  </r>
  <r>
    <s v="2026/05/31"/>
    <s v="Mayo"/>
    <s v="Kia "/>
    <x v="2"/>
    <s v="ANDRES FELIPE RODRIGUEZ LONDOÑO"/>
    <n v="959"/>
    <s v="AUTOFINANCIERA"/>
    <n v="26992143"/>
    <s v="VKC 70260"/>
    <s v="2026-05-23"/>
    <s v="1970-01-01"/>
    <s v="2026-05-29"/>
    <s v="MONTES CHAURA JULIO CESAR"/>
    <n v="8"/>
    <s v="2027JA3M20__25G1002"/>
    <s v="PICANTO VIBRANT"/>
    <s v="KNAB2511AVT514510"/>
    <n v="46346339"/>
    <n v="695700"/>
    <n v="41856299"/>
    <n v="58859850"/>
    <s v="10%"/>
    <n v="58859850"/>
    <n v="393944"/>
    <m/>
    <n v="8.500002556836259E-3"/>
    <m/>
  </r>
  <r>
    <s v="2026/05/31"/>
    <s v="Mayo"/>
    <s v="Kia "/>
    <x v="2"/>
    <s v="ANDRES FELIPE RODRIGUEZ LONDOÑO"/>
    <n v="959"/>
    <s v="AUTOFINANCIERA"/>
    <n v="26977458"/>
    <s v="VKC 70259"/>
    <s v="2026-05-23"/>
    <s v="1970-01-01"/>
    <s v="2026-05-29"/>
    <s v="BUITRAGO NOREÑA CHRISTIAN MAURICIO"/>
    <n v="8"/>
    <s v="2027JA3M20__25G1002"/>
    <s v="PICANTO VIBRANT"/>
    <s v="KNAB2511AVT514514"/>
    <n v="46346339"/>
    <n v="695700"/>
    <n v="41856299"/>
    <n v="58859850"/>
    <s v="10%"/>
    <n v="58859850"/>
    <n v="393944"/>
    <m/>
    <n v="8.500002556836259E-3"/>
    <m/>
  </r>
  <r>
    <s v="2026/05/31"/>
    <s v="Mayo"/>
    <s v="Kia "/>
    <x v="2"/>
    <s v="ANDRES FELIPE RODRIGUEZ LONDOÑO"/>
    <n v="959"/>
    <s v="EVENTOS"/>
    <n v="27049082"/>
    <s v="VKC 70254"/>
    <s v="2026-05-12"/>
    <s v="1970-01-01"/>
    <s v="2026-05-25"/>
    <s v="ISAZA GONZALEZ JORGE ARMANDO"/>
    <n v="8"/>
    <s v="2027YB2A31__25H1000"/>
    <s v="STONIC DESIRE"/>
    <s v="KNADA817GVT094846"/>
    <n v="82070796"/>
    <n v="1874000"/>
    <n v="79564910"/>
    <n v="92740000"/>
    <s v="3%"/>
    <n v="0"/>
    <n v="697602"/>
    <n v="697602"/>
    <n v="8.5000028511969111E-3"/>
    <m/>
  </r>
  <r>
    <s v="2026/05/31"/>
    <s v="Mayo"/>
    <s v="Kia "/>
    <x v="2"/>
    <s v="ANDRES FELIPE RODRIGUEZ LONDOÑO"/>
    <n v="959"/>
    <s v="AUTOFINANCIERA"/>
    <n v="27048500"/>
    <s v="VKC 70253"/>
    <s v="2026-05-09"/>
    <s v="1970-01-01"/>
    <s v="2026-05-22"/>
    <s v="VALENCIA SANCHEZ NATALIA"/>
    <n v="8"/>
    <s v="2027YB2A31__25H1001"/>
    <s v="STONIC DESIRE"/>
    <s v="KNADA817GVT105072"/>
    <n v="90786460"/>
    <n v="735600"/>
    <n v="79564910"/>
    <n v="102588700"/>
    <s v="12%"/>
    <n v="100999700"/>
    <n v="771685"/>
    <m/>
    <n v="8.5000009913372542E-3"/>
    <m/>
  </r>
  <r>
    <s v="2026/05/31"/>
    <s v="Mayo"/>
    <s v="Kia "/>
    <x v="2"/>
    <s v="ANDRES FELIPE RODRIGUEZ LONDOÑO"/>
    <n v="959"/>
    <s v="VITRINA"/>
    <n v="27031329"/>
    <s v="VKC 70251"/>
    <s v="2026-04-30"/>
    <s v="1970-01-01"/>
    <s v="2026-05-22"/>
    <s v="SALCEDO PENILLA LUIS GUILLERMO"/>
    <n v="8"/>
    <s v="2027NQ2A65__25H1601"/>
    <s v="SPORTAGE ZENITH"/>
    <s v="KNAPV81GBV7370122"/>
    <n v="155447080"/>
    <n v="798300"/>
    <n v="141761947"/>
    <n v="175655200"/>
    <s v="9%"/>
    <n v="0"/>
    <n v="1321300"/>
    <n v="1321300"/>
    <n v="8.4999988420496539E-3"/>
    <m/>
  </r>
  <r>
    <s v="2026/05/31"/>
    <s v="Mayo"/>
    <s v="Kia "/>
    <x v="2"/>
    <s v="ANDRES MAURICIO RAMIREZ MONTAÑO"/>
    <n v="964"/>
    <s v="REFERIDO"/>
    <n v="27024711"/>
    <s v="VKC 70250"/>
    <s v="2026-04-28"/>
    <s v="2026-05-19"/>
    <s v="2026-05-07"/>
    <s v="RODRIGUEZ IBAÑEZ MIGUEL ANGEL"/>
    <n v="1"/>
    <s v="2026QY2A50__25G1500"/>
    <s v="SONET ZENITH"/>
    <s v="LJD3BA1DET0086307"/>
    <n v="87196850"/>
    <n v="2485800"/>
    <n v="81554462"/>
    <n v="110740000"/>
    <s v="6%"/>
    <n v="0"/>
    <n v="435984"/>
    <n v="435984"/>
    <n v="4.999997132923953E-3"/>
    <m/>
  </r>
  <r>
    <s v="2026/05/31"/>
    <s v="Mayo"/>
    <s v="Kia "/>
    <x v="2"/>
    <s v="LISA MARIA LONDOÑO BOLIVAR"/>
    <n v="907"/>
    <s v="AUTOFINANCIERA"/>
    <n v="27057622"/>
    <s v="VKC 70261"/>
    <s v="2026-05-25"/>
    <s v="1970-01-01"/>
    <s v="2026-05-29"/>
    <s v="SANCHEZ GONZALES SANDRA YAMILE"/>
    <n v="3"/>
    <s v="2027BL1A70__25G1601"/>
    <s v="K3 CROSS GT LINE"/>
    <s v="3KPFD51ABVE196019"/>
    <n v="85307953"/>
    <n v="1464000"/>
    <n v="76151969"/>
    <n v="108341100"/>
    <s v="11%"/>
    <n v="79950000"/>
    <n v="383885.78850000002"/>
    <m/>
    <n v="4.5000000000000005E-3"/>
    <m/>
  </r>
  <r>
    <s v="2026/05/31"/>
    <s v="Mayo"/>
    <s v="Kia "/>
    <x v="2"/>
    <s v="LISA MARIA LONDOÑO BOLIVAR"/>
    <n v="907"/>
    <s v="PAGINA WEB ARMOTOR"/>
    <n v="23154113"/>
    <s v="VKC 70257"/>
    <s v="2026-05-23"/>
    <s v="1970-01-01"/>
    <s v="2026-05-28"/>
    <s v="AGUIRRE DAVALOS WILLIAM"/>
    <n v="3"/>
    <s v="2027JA3M20__25G1002"/>
    <s v="PICANTO VIBRANT"/>
    <s v="KNAB2511AVT514519"/>
    <n v="45661417"/>
    <n v="695700"/>
    <n v="41856299"/>
    <n v="57990000"/>
    <s v="8%"/>
    <n v="140454"/>
    <n v="205476.37650000001"/>
    <m/>
    <n v="4.5000000000000005E-3"/>
    <m/>
  </r>
  <r>
    <s v="2026/05/31"/>
    <s v="Mayo"/>
    <s v="Kia "/>
    <x v="2"/>
    <s v="LISA MARIA LONDOÑO BOLIVAR"/>
    <n v="907"/>
    <s v="PAGINA WEB ARMOTOR"/>
    <n v="27087442"/>
    <s v="VKC 70265"/>
    <s v="2026-05-28"/>
    <s v="1970-01-01"/>
    <s v="2026-05-30"/>
    <s v="OCAMPO GOMEZ LINA VANESSA"/>
    <n v="3"/>
    <s v="2027YB2A40__25H1001"/>
    <s v="STONIC VIBRANT"/>
    <s v="KNAD6817GVT121081"/>
    <n v="87380531"/>
    <n v="781200"/>
    <n v="78761143"/>
    <n v="98740000"/>
    <s v="10%"/>
    <n v="63740000"/>
    <n v="393212.38950000005"/>
    <m/>
    <n v="4.5000000000000005E-3"/>
    <m/>
  </r>
  <r>
    <s v="2026/05/31"/>
    <s v="Mayo"/>
    <s v="Kia "/>
    <x v="2"/>
    <s v="SERGIO ALEXANDER CASIERRA MARTINEZ"/>
    <n v="1086"/>
    <s v="REFERIDO"/>
    <n v="27074337"/>
    <s v="VKC 70262"/>
    <s v="2026-05-26"/>
    <s v="1970-01-01"/>
    <s v="2026-05-29"/>
    <s v="GONZALEZ HERRERA SANDRA JANETH"/>
    <n v="2"/>
    <s v="2027BL1A60__25G1601"/>
    <s v="K3 CROSS ZENITH"/>
    <s v="3KPFF51ABVE195325"/>
    <n v="75385827"/>
    <n v="2054000"/>
    <n v="68212336"/>
    <n v="95740000"/>
    <s v="10%"/>
    <n v="95740000"/>
    <n v="376929.13500000001"/>
    <m/>
    <n v="5.0000000000000001E-3"/>
    <m/>
  </r>
  <r>
    <s v="2026/05/31"/>
    <s v="Mayo"/>
    <s v="Kia "/>
    <x v="2"/>
    <s v="SERGIO ALEXANDER CASIERRA MARTINEZ"/>
    <n v="1086"/>
    <s v="PAGINA WEB ARMOTOR"/>
    <n v="27024477"/>
    <s v="VKC 70258"/>
    <s v="2026-05-23"/>
    <s v="1970-01-01"/>
    <s v="2026-05-28"/>
    <s v="RAMOS TORO ANGELICA MARIA"/>
    <n v="2"/>
    <s v="2027JA3M20__25G1002"/>
    <s v="PICANTO VIBRANT"/>
    <s v="KNAB2511AVT514507"/>
    <n v="45661417"/>
    <n v="695700"/>
    <n v="41856299"/>
    <n v="57990000"/>
    <s v="8%"/>
    <n v="57990000"/>
    <n v="228307.08499999999"/>
    <m/>
    <n v="5.0000000000000001E-3"/>
    <m/>
  </r>
  <r>
    <s v="2026/05/31"/>
    <s v="Mayo"/>
    <s v="Kia "/>
    <x v="3"/>
    <s v="CRISTIAN CAMILO CHAPARRO PERDOMO"/>
    <n v="823"/>
    <s v="VITRINA"/>
    <n v="27040751"/>
    <s v="VKM 71223"/>
    <s v="2026-05-06"/>
    <s v="2026-05-08"/>
    <s v="2026-05-08"/>
    <s v="ROA SAAVEDRA MIGUEL LEONARDO"/>
    <n v="10"/>
    <s v="2027BL1A70__25G1601"/>
    <s v="K3 CROSS GT LINE"/>
    <s v="3KPFD51ABVE173742"/>
    <n v="84212598"/>
    <n v="3090000"/>
    <n v="77595538"/>
    <n v="106950000"/>
    <s v="8%"/>
    <n v="0"/>
    <n v="715807"/>
    <n v="715807"/>
    <n v="8.4999990143992468E-3"/>
    <m/>
  </r>
  <r>
    <s v="2026/05/31"/>
    <s v="Mayo"/>
    <s v="Kia "/>
    <x v="3"/>
    <s v="CRISTIAN CAMILO CHAPARRO PERDOMO"/>
    <n v="823"/>
    <s v="REFERIDO"/>
    <n v="27079031"/>
    <s v="VKM 71277"/>
    <s v="2026-05-26"/>
    <s v="1970-01-01"/>
    <s v="2026-05-29"/>
    <s v="RODRIGUEZ SALAZAR MARCELO"/>
    <n v="10"/>
    <s v="2027BL1M40__25G1600"/>
    <s v="K3 CROSS VIBRANT MT"/>
    <s v="3KPFF51AAVE194210"/>
    <n v="64566929"/>
    <n v="1764000"/>
    <n v="58107349"/>
    <n v="82000000"/>
    <s v="10%"/>
    <n v="26762000"/>
    <n v="548819"/>
    <m/>
    <n v="8.5000016029878073E-3"/>
    <m/>
  </r>
  <r>
    <s v="2026/05/31"/>
    <s v="Mayo"/>
    <s v="Kia "/>
    <x v="3"/>
    <s v="CRISTIAN CAMILO CHAPARRO PERDOMO"/>
    <n v="823"/>
    <s v="VISITA A PUEBLOS"/>
    <n v="27045384"/>
    <s v="VKM 71225"/>
    <s v="2026-05-08"/>
    <s v="1970-01-01"/>
    <s v="2026-05-21"/>
    <s v="HENAO BEDOYA MILI JOHANA"/>
    <n v="10"/>
    <s v="2027BL1A60__25G1601"/>
    <s v="K3 CROSS ZENITH"/>
    <s v="3KPFF51ABVE187237"/>
    <n v="75582677"/>
    <n v="1691000"/>
    <n v="68934120"/>
    <n v="95990000"/>
    <s v="9%"/>
    <n v="0"/>
    <n v="642453"/>
    <n v="321226.5"/>
    <n v="8.500003248098768E-3"/>
    <m/>
  </r>
  <r>
    <s v="2026/05/31"/>
    <s v="Mayo"/>
    <s v="Kia "/>
    <x v="3"/>
    <s v="CRISTIAN CAMILO CHAPARRO PERDOMO"/>
    <n v="823"/>
    <s v="VITRINA"/>
    <n v="26998177"/>
    <s v="VKM 71267"/>
    <s v="2026-05-25"/>
    <s v="1970-01-01"/>
    <s v="2026-05-27"/>
    <s v="ESCOBAR ESCOBAR LINA PAOLA"/>
    <n v="10"/>
    <s v="2027JA3M20__25G1002"/>
    <s v="PICANTO VIBRANT"/>
    <s v="KNAB2511AVT514513"/>
    <n v="46062992"/>
    <n v="849600"/>
    <n v="41856299"/>
    <n v="58500000"/>
    <s v="9%"/>
    <n v="998000"/>
    <n v="391535"/>
    <m/>
    <n v="8.499990621538436E-3"/>
    <m/>
  </r>
  <r>
    <s v="2026/05/31"/>
    <s v="Mayo"/>
    <s v="Kia "/>
    <x v="3"/>
    <s v="CRISTIAN CAMILO CHAPARRO PERDOMO"/>
    <n v="823"/>
    <s v="CONVENIOS EMPRESARIALES"/>
    <n v="26979601"/>
    <s v="VKM 71269"/>
    <s v="2026-05-25"/>
    <s v="1970-01-01"/>
    <s v="2026-05-29"/>
    <s v="HOSPITAL DE ALTA COMPLEJIDAD DEL MAGDALENA MEDIO SAS"/>
    <n v="10"/>
    <s v="2027JA3M20__25G1002"/>
    <s v="PICANTO VIBRANT"/>
    <s v="KNAB2511AVT514561"/>
    <n v="45661417"/>
    <n v="1149600"/>
    <n v="41856299"/>
    <n v="57990000"/>
    <s v="8%"/>
    <n v="5799000"/>
    <n v="388122"/>
    <m/>
    <n v="8.4999990254354136E-3"/>
    <m/>
  </r>
  <r>
    <s v="2026/05/31"/>
    <s v="Mayo"/>
    <s v="Kia "/>
    <x v="3"/>
    <s v="CRISTIAN CAMILO CHAPARRO PERDOMO"/>
    <n v="823"/>
    <s v="VITRINA"/>
    <n v="27012021"/>
    <s v="VKM 71270"/>
    <s v="2026-05-25"/>
    <s v="1970-01-01"/>
    <s v="2026-05-28"/>
    <s v="VALENCIA BONILLA DIANA CAROLINA"/>
    <n v="10"/>
    <s v="2027JA3M20__25G1002"/>
    <s v="PICANTO VIBRANT"/>
    <s v="KNAB2511AVT514563"/>
    <n v="44535433"/>
    <n v="1149600"/>
    <n v="41856299"/>
    <n v="56560000"/>
    <s v="6%"/>
    <n v="0"/>
    <n v="378551"/>
    <n v="378551"/>
    <n v="8.4999959470473761E-3"/>
    <m/>
  </r>
  <r>
    <s v="2026/05/31"/>
    <s v="Mayo"/>
    <s v="Kia "/>
    <x v="3"/>
    <s v="CRISTIAN CAMILO CHAPARRO PERDOMO"/>
    <n v="823"/>
    <s v="PAGINA WEB ARMOTOR"/>
    <n v="26996517"/>
    <s v="VKM 71253"/>
    <s v="2026-05-21"/>
    <s v="1970-01-01"/>
    <s v="2026-05-25"/>
    <s v="SANDINO LOPEZ ANGELICA"/>
    <n v="10"/>
    <s v="2027JA3M20__25G1002"/>
    <s v="PICANTO VIBRANT"/>
    <s v="KNAB2511AVT514850"/>
    <n v="46062992"/>
    <n v="849600"/>
    <n v="41856299"/>
    <n v="58500000"/>
    <s v="9%"/>
    <n v="0"/>
    <n v="391535"/>
    <n v="391535"/>
    <n v="8.499990621538436E-3"/>
    <m/>
  </r>
  <r>
    <s v="2026/05/31"/>
    <s v="Mayo"/>
    <s v="Kia "/>
    <x v="3"/>
    <s v="CRISTIAN CAMILO CHAPARRO PERDOMO"/>
    <n v="823"/>
    <s v="VISITA A PUEBLOS"/>
    <n v="26993679"/>
    <s v="VKM 71262"/>
    <s v="2026-05-22"/>
    <s v="1970-01-01"/>
    <s v="2026-05-25"/>
    <s v="RICO RODRIGUEZ LUCIO"/>
    <n v="10"/>
    <s v="2027JA3M45__25G1202"/>
    <s v="PICANTO ZENITH MT"/>
    <s v="KNAB2512AVT514108"/>
    <n v="52362205"/>
    <n v="1415600"/>
    <n v="46908793"/>
    <n v="66500000"/>
    <s v="10%"/>
    <n v="0"/>
    <n v="445079"/>
    <n v="222539.5"/>
    <n v="8.5000049176691475E-3"/>
    <m/>
  </r>
  <r>
    <s v="2026/05/31"/>
    <s v="Mayo"/>
    <s v="Kia "/>
    <x v="3"/>
    <s v="CRISTIAN CAMILO CHAPARRO PERDOMO"/>
    <n v="823"/>
    <s v="VISITA A PUEBLOS"/>
    <n v="27056948"/>
    <s v="VKM 71243"/>
    <s v="2026-05-14"/>
    <s v="1970-01-01"/>
    <s v="2026-05-22"/>
    <s v="ANGEL ZULUAGA YURY"/>
    <n v="10"/>
    <s v="2027NQ2A40__25H1600"/>
    <s v="SPORTAGE VIBRANT"/>
    <s v="KNAPU81GBV7366039"/>
    <n v="136283186"/>
    <n v="1081200"/>
    <n v="127425664"/>
    <n v="154000000"/>
    <s v="6%"/>
    <n v="3004000"/>
    <n v="1158407"/>
    <m/>
    <n v="8.4999994056493521E-3"/>
    <m/>
  </r>
  <r>
    <s v="2026/05/31"/>
    <s v="Mayo"/>
    <s v="Kia "/>
    <x v="3"/>
    <s v="CRISTIAN CAMILO CHAPARRO PERDOMO"/>
    <n v="823"/>
    <s v="VITRINA"/>
    <n v="27061270"/>
    <s v="VKM 71245"/>
    <s v="2026-05-15"/>
    <s v="1970-01-01"/>
    <s v="2026-05-25"/>
    <s v="DIAZ QUINTERO LINA LICETH"/>
    <n v="10"/>
    <s v="2026QY2A50__25G1500"/>
    <s v="SONET ZENITH"/>
    <s v="LJD3BA1DET0086328"/>
    <n v="86614173"/>
    <n v="2814000"/>
    <n v="82370006"/>
    <n v="110000000"/>
    <s v="5%"/>
    <n v="0"/>
    <n v="736220"/>
    <n v="736220"/>
    <n v="8.4999945678636227E-3"/>
    <m/>
  </r>
  <r>
    <s v="2026/05/31"/>
    <s v="Mayo"/>
    <s v="Kia "/>
    <x v="3"/>
    <s v="SILVIA PATRICIA PINEDA CARDONA"/>
    <n v="923"/>
    <s v="VITRINA"/>
    <n v="27024492"/>
    <s v="VKM 71217"/>
    <s v="2026-04-30"/>
    <s v="1970-01-01"/>
    <s v="2026-05-21"/>
    <s v="MARTINEZ GARCIA DANIEL FELIPE"/>
    <n v="8"/>
    <s v="2027BL1A60__25G1601"/>
    <s v="K3 CROSS ZENITH"/>
    <s v="3KPFF51ABVE167625"/>
    <n v="76960630"/>
    <n v="2274000"/>
    <n v="69655906"/>
    <n v="97740000"/>
    <s v="9%"/>
    <n v="0"/>
    <n v="654165.3550000001"/>
    <n v="654165.3550000001"/>
    <n v="8.5000000000000006E-3"/>
    <m/>
  </r>
  <r>
    <s v="2026/05/31"/>
    <s v="Mayo"/>
    <s v="Kia "/>
    <x v="3"/>
    <s v="SILVIA PATRICIA PINEDA CARDONA"/>
    <n v="923"/>
    <s v="REFERIDO"/>
    <n v="27083517"/>
    <s v="VKM 71281"/>
    <s v="2026-05-27"/>
    <s v="1970-01-01"/>
    <s v="2026-05-29"/>
    <s v="CONTRERAS PARGA ZULY ESMERALDA"/>
    <n v="8"/>
    <s v="2027BL1A60__25G1601"/>
    <s v="K3 CROSS ZENITH"/>
    <s v="3KPFF51ABVE195329"/>
    <n v="76960630"/>
    <n v="3450000"/>
    <n v="68212336"/>
    <n v="97740000"/>
    <s v="11%"/>
    <n v="97740000"/>
    <n v="654165.3550000001"/>
    <m/>
    <n v="8.5000000000000006E-3"/>
    <m/>
  </r>
  <r>
    <s v="2026/05/31"/>
    <s v="Mayo"/>
    <s v="Kia "/>
    <x v="3"/>
    <s v="SILVIA PATRICIA PINEDA CARDONA"/>
    <n v="923"/>
    <s v="PLAYA DE VENTAS"/>
    <n v="27076352"/>
    <s v="VKM 71268"/>
    <s v="2026-05-25"/>
    <s v="1970-01-01"/>
    <s v="2026-05-30"/>
    <s v="ROA SANCHEZ LUIS ENHAWER"/>
    <n v="8"/>
    <s v="2027JA3M20__25G1002"/>
    <s v="PICANTO VIBRANT"/>
    <s v="KNAB2511AVT514562"/>
    <n v="47244094"/>
    <n v="1923900"/>
    <n v="41856299"/>
    <n v="60000000"/>
    <s v="11%"/>
    <n v="55000000"/>
    <n v="401574.79900000006"/>
    <m/>
    <n v="8.5000000000000006E-3"/>
    <m/>
  </r>
  <r>
    <s v="2026/05/31"/>
    <s v="Mayo"/>
    <s v="Kia "/>
    <x v="3"/>
    <s v="SILVIA PATRICIA PINEDA CARDONA"/>
    <n v="923"/>
    <s v="REFERIDO"/>
    <n v="26990861"/>
    <s v="VKM 71261"/>
    <s v="2026-05-22"/>
    <s v="1970-01-01"/>
    <s v="2026-05-28"/>
    <s v="URUEÑA PARADA LINA MARCELA"/>
    <n v="8"/>
    <s v="2027JA3M45__25G1202"/>
    <s v="PICANTO ZENITH MT"/>
    <s v="KNAB2512AVT514053"/>
    <n v="51960630"/>
    <n v="849600"/>
    <n v="46908793"/>
    <n v="65990000"/>
    <s v="10%"/>
    <n v="46551000"/>
    <n v="441665.35500000004"/>
    <m/>
    <n v="8.5000000000000006E-3"/>
    <m/>
  </r>
  <r>
    <s v="2026/05/31"/>
    <s v="Mayo"/>
    <s v="Kia "/>
    <x v="3"/>
    <s v="SILVIA PATRICIA PINEDA CARDONA"/>
    <n v="923"/>
    <s v="VITRINA"/>
    <n v="27044868"/>
    <s v="VKM 71226"/>
    <s v="2026-05-08"/>
    <s v="1970-01-01"/>
    <s v="2026-05-29"/>
    <s v="CARDONA VELASQUEZ RUTH ALEXANDRA"/>
    <n v="8"/>
    <s v="2027SP2A43__25G2001"/>
    <s v="SELTOS VIBRANT"/>
    <s v="KNAER81AEV7914331"/>
    <n v="88181102"/>
    <n v="1940600"/>
    <n v="84441602"/>
    <n v="111990000"/>
    <s v="4%"/>
    <n v="0"/>
    <n v="749539.36700000009"/>
    <n v="749539.36700000009"/>
    <n v="8.5000000000000006E-3"/>
    <m/>
  </r>
  <r>
    <s v="2026/05/31"/>
    <s v="Mayo"/>
    <s v="Kia "/>
    <x v="3"/>
    <s v="SILVIA PATRICIA PINEDA CARDONA"/>
    <n v="923"/>
    <s v="TALLER"/>
    <n v="27016172"/>
    <s v="VKM 71214"/>
    <s v="2026-04-30"/>
    <s v="1970-01-01"/>
    <s v="2026-05-21"/>
    <s v="PORRAS MUÑOZ NESTOR SAUL"/>
    <n v="8"/>
    <s v="2026QY2A50__25G1500"/>
    <s v="SONET ZENITH"/>
    <s v="LJD3BA1DET0086303"/>
    <n v="87401575"/>
    <n v="3987000"/>
    <n v="81554462"/>
    <n v="111000000"/>
    <s v="7%"/>
    <n v="0"/>
    <n v="742913.38750000007"/>
    <n v="742913.38750000007"/>
    <n v="8.5000000000000006E-3"/>
    <m/>
  </r>
  <r>
    <s v="2026/05/31"/>
    <s v="Mayo"/>
    <s v="Kia "/>
    <x v="3"/>
    <s v="SILVIA PATRICIA PINEDA CARDONA"/>
    <n v="923"/>
    <s v="VITRINA"/>
    <s v="27078131"/>
    <s v="VKM 71276"/>
    <s v="2026-05-25"/>
    <s v="1970-01-01"/>
    <s v="2026-05-30"/>
    <s v="ROMERO MARIA DORA"/>
    <n v="8"/>
    <s v="2027BL1M40__25G1600"/>
    <s v="K3 CROSS VIBRANT MT"/>
    <s v="3KPFF51AAVE194262"/>
    <n v="64559055"/>
    <n v="2327300"/>
    <n v="58107349"/>
    <n v="81990000"/>
    <s v="7%"/>
    <n v="51990000"/>
    <n v="548751.96750000003"/>
    <m/>
    <n v="8.5000000000000006E-3"/>
    <m/>
  </r>
  <r>
    <s v="2026/05/31"/>
    <s v="Mayo"/>
    <s v="Kia "/>
    <x v="3"/>
    <s v="SILVIA PATRICIA PINEDA CARDONA"/>
    <n v="923"/>
    <s v="VITRINA"/>
    <s v="23159962"/>
    <s v="VKM 71121"/>
    <s v="2026-03-31"/>
    <s v="1970-01-01"/>
    <s v="2026-05-30"/>
    <s v="GOMEZ BELTRAN URIEL DOMINGO"/>
    <n v="8"/>
    <s v="2027JA3M35T_25G1203"/>
    <s v="EKOTAXI"/>
    <s v="KNAB2512AVT482386"/>
    <n v="62184874"/>
    <n v="849600"/>
    <n v="54523056"/>
    <n v="74000000"/>
    <s v="7%"/>
    <n v="0"/>
    <n v="528571.429"/>
    <n v="528571.429"/>
    <n v="8.5000000000000006E-3"/>
    <m/>
  </r>
  <r>
    <s v="2026/05/31"/>
    <s v="Mayo"/>
    <s v="Kia "/>
    <x v="3"/>
    <s v="STEWART ORJUELA PENAGOS"/>
    <n v="320"/>
    <s v="PLAYA DE VENTAS"/>
    <n v="27080427"/>
    <s v="VKM 71283"/>
    <s v="2026-05-28"/>
    <s v="1970-01-01"/>
    <s v="2026-05-29"/>
    <s v="GALVIS ALZATE LEIDY JOHANA"/>
    <n v="6"/>
    <s v="2027BL1A40__24G1600"/>
    <s v="K3 VIBRANT"/>
    <s v="3KPFC41ABVE190191"/>
    <n v="69283465"/>
    <n v="1631000"/>
    <n v="63159842"/>
    <n v="87990000"/>
    <s v="9%"/>
    <n v="87990000"/>
    <n v="484984"/>
    <m/>
    <n v="6.9999963194681443E-3"/>
    <m/>
  </r>
  <r>
    <s v="2026/05/31"/>
    <s v="Mayo"/>
    <s v="Kia "/>
    <x v="3"/>
    <s v="STEWART ORJUELA PENAGOS"/>
    <n v="320"/>
    <s v="AGENCIA PUBLICIDAD"/>
    <n v="27083406"/>
    <s v="VKM 71284"/>
    <s v="2026-05-28"/>
    <s v="1970-01-01"/>
    <s v="2026-05-29"/>
    <s v="ANDRES HERNANDEZ PAULO"/>
    <n v="6"/>
    <s v="2027YB2A31__25H1000"/>
    <s v="STONIC DESIRE"/>
    <s v="KNADA817GVT094488"/>
    <n v="83407080"/>
    <n v="2264000"/>
    <n v="79564910"/>
    <n v="94250000"/>
    <s v="5%"/>
    <n v="0"/>
    <n v="583850"/>
    <n v="291925"/>
    <n v="7.0000052753315424E-3"/>
    <m/>
  </r>
  <r>
    <s v="2026/05/31"/>
    <s v="Mayo"/>
    <s v="Kia "/>
    <x v="3"/>
    <s v="STEWART ORJUELA PENAGOS"/>
    <n v="320"/>
    <s v="VITRINA"/>
    <n v="27072233"/>
    <s v="VKM 71260"/>
    <s v="2026-05-22"/>
    <s v="1970-01-01"/>
    <s v="2026-05-29"/>
    <s v="MURILLO CASTILLO MABEL"/>
    <n v="6"/>
    <s v="2027YB2A31__25H1000"/>
    <s v="STONIC DESIRE"/>
    <s v="KNADA817GVT094847"/>
    <n v="82070796"/>
    <n v="2034000"/>
    <n v="79564910"/>
    <n v="92740000"/>
    <s v="3%"/>
    <n v="0"/>
    <n v="574496"/>
    <n v="287248"/>
    <n v="7.0000052150097341E-3"/>
    <m/>
  </r>
  <r>
    <s v="2026/05/31"/>
    <s v="Mayo"/>
    <s v="Kia "/>
    <x v="3"/>
    <s v="STEWART ORJUELA PENAGOS"/>
    <n v="320"/>
    <s v="VITRINA"/>
    <n v="27086475"/>
    <s v="VKM 71288"/>
    <s v="2026-05-29"/>
    <s v="1970-01-01"/>
    <s v="2026-05-30"/>
    <s v="MORANTES MEDINA JOSE ALIRIO"/>
    <n v="6"/>
    <s v="2027NQ2A40__25H1600"/>
    <s v="SPORTAGE VIBRANT"/>
    <s v="KNAPU81GBV7361595"/>
    <n v="131849558"/>
    <n v="1041120"/>
    <n v="127425664"/>
    <n v="148990000"/>
    <s v="3%"/>
    <n v="0"/>
    <n v="922947"/>
    <n v="922947"/>
    <n v="7.0000007129337512E-3"/>
    <m/>
  </r>
  <r>
    <s v="2026/05/31"/>
    <s v="Mayo"/>
    <s v="Kia "/>
    <x v="3"/>
    <s v="STEWART ORJUELA PENAGOS"/>
    <n v="320"/>
    <s v="PLAYA DE VENTAS"/>
    <n v="27072509"/>
    <s v="VKM 71264"/>
    <s v="2026-05-22"/>
    <s v="1970-01-01"/>
    <s v="2026-05-29"/>
    <s v="PALOMINO MEJIA ADRIANA JULIETH"/>
    <n v="6"/>
    <s v="2027MQ1A68__45H1600"/>
    <s v="SORENTO ZENITH"/>
    <s v="KNARH81GDV5500215"/>
    <n v="190074380"/>
    <n v="1528300"/>
    <n v="171066942"/>
    <n v="229990000"/>
    <s v="10%"/>
    <n v="0"/>
    <n v="1330521"/>
    <n v="1330521"/>
    <n v="7.0000017887734264E-3"/>
    <m/>
  </r>
  <r>
    <s v="2026/05/31"/>
    <s v="Mayo"/>
    <s v="Kia "/>
    <x v="3"/>
    <s v="STEWART ORJUELA PENAGOS"/>
    <n v="320"/>
    <s v="EVENTOS"/>
    <n v="27048801"/>
    <s v="VKM 71235"/>
    <s v="2026-05-12"/>
    <s v="1970-01-01"/>
    <s v="2026-05-25"/>
    <s v="GARZON MANIOS LIZETH CAMILA"/>
    <n v="6"/>
    <s v="2027QY2M35__25G1503"/>
    <s v="SONET VIBRANT MT"/>
    <s v="LJD3BA1DAV0093419"/>
    <n v="74779528"/>
    <n v="3555600"/>
    <n v="64953412"/>
    <n v="94970000"/>
    <s v="13%"/>
    <n v="0"/>
    <n v="523457"/>
    <n v="523457"/>
    <n v="7.0000040652837495E-3"/>
    <m/>
  </r>
  <r>
    <s v="2026/05/31"/>
    <s v="Mayo"/>
    <s v="Kia "/>
    <x v="4"/>
    <s v="ANDRES GEOVANNY OSSA RESTREPO"/>
    <n v="861"/>
    <s v="VITRINA"/>
    <n v="27034472"/>
    <s v="VKM 71220"/>
    <s v="2026-05-04"/>
    <s v="2026-05-16"/>
    <s v="2026-05-07"/>
    <s v="DURAN ALZATE LEIDY VIVIANA"/>
    <n v="5"/>
    <s v="2027BL1A60__24G1600"/>
    <s v="K3 ZENITH"/>
    <s v="3KPFC41ABVE173193"/>
    <n v="74803150"/>
    <n v="1924000"/>
    <n v="68212336"/>
    <n v="95000000"/>
    <s v="9%"/>
    <n v="0"/>
    <n v="374016"/>
    <n v="374016"/>
    <n v="5.0000033421052454E-3"/>
    <m/>
  </r>
  <r>
    <s v="2026/05/31"/>
    <s v="Mayo"/>
    <s v="Kia "/>
    <x v="4"/>
    <s v="ANDRES GEOVANNY OSSA RESTREPO"/>
    <n v="861"/>
    <s v="GRUPO ARME"/>
    <n v="27084988"/>
    <s v="VKM 71282"/>
    <s v="2026-05-27"/>
    <s v="2026-06-03"/>
    <s v="2026-05-29"/>
    <s v="VARGAS DIANA CAROLINA"/>
    <n v="5"/>
    <s v="2027BL1A40__25G1600"/>
    <s v="K3 CROSS VIBRANT"/>
    <s v="3KPFF51ABVE181253"/>
    <n v="68220083"/>
    <n v="1431000"/>
    <n v="64603412"/>
    <n v="86639505"/>
    <s v="5%"/>
    <n v="0"/>
    <n v="341100"/>
    <n v="341100"/>
    <n v="4.9999939167473598E-3"/>
    <m/>
  </r>
  <r>
    <s v="2026/05/31"/>
    <s v="Mayo"/>
    <s v="Kia "/>
    <x v="4"/>
    <s v="ANDRES GEOVANNY OSSA RESTREPO"/>
    <n v="861"/>
    <s v="VITRINA"/>
    <n v="27044755"/>
    <s v="VKM 71256"/>
    <s v="2026-05-21"/>
    <s v="1970-01-01"/>
    <s v="2026-05-26"/>
    <s v="SANTOFIMIO SAAVEDRA GONZALO"/>
    <n v="5"/>
    <s v="2027JA3M45__25G1202"/>
    <s v="PICANTO ZENITH MT"/>
    <s v="KNAB2512AVT514051"/>
    <n v="53070866"/>
    <n v="1450800"/>
    <n v="46908793"/>
    <n v="67400000"/>
    <s v="12%"/>
    <n v="48726200"/>
    <n v="265354"/>
    <m/>
    <n v="4.9999937818990935E-3"/>
    <m/>
  </r>
  <r>
    <s v="2026/05/31"/>
    <s v="Mayo"/>
    <s v="Kia "/>
    <x v="4"/>
    <s v="ANDRES GEOVANNY OSSA RESTREPO"/>
    <n v="861"/>
    <s v="VITRINA"/>
    <n v="27072140"/>
    <s v="VKM 71255"/>
    <s v="2026-05-21"/>
    <s v="1970-01-01"/>
    <s v="2026-05-26"/>
    <s v="RIOS LONDOÑO GUSTAVO ADOLFO"/>
    <n v="5"/>
    <s v="2027JA3M45__25G1202"/>
    <s v="PICANTO ZENITH MT"/>
    <s v="KNAB2512AVT514052"/>
    <n v="51763780"/>
    <n v="1062800"/>
    <n v="46908793"/>
    <n v="65740000"/>
    <s v="9%"/>
    <n v="0"/>
    <n v="258819"/>
    <n v="258819"/>
    <n v="5.000001931852736E-3"/>
    <m/>
  </r>
  <r>
    <s v="2026/05/31"/>
    <s v="Mayo"/>
    <s v="Kia "/>
    <x v="4"/>
    <s v="ANDRES GEOVANNY OSSA RESTREPO"/>
    <n v="861"/>
    <s v="AUTOFINANCIERA"/>
    <n v="27044934"/>
    <s v="VKM 71224"/>
    <s v="2026-05-07"/>
    <s v="1970-01-01"/>
    <s v="2026-05-26"/>
    <s v="TANGARIFE LOPEZ GLORIA CLEMENCIA"/>
    <n v="5"/>
    <s v="2027QY2M35__25G1503"/>
    <s v="SONET VIBRANT MT"/>
    <s v="LJD3BA1DAV0093420"/>
    <n v="75669291"/>
    <n v="1831200"/>
    <n v="64953412"/>
    <n v="96100000"/>
    <s v="14%"/>
    <n v="0"/>
    <n v="378346"/>
    <n v="189173"/>
    <n v="4.9999939869926893E-3"/>
    <m/>
  </r>
  <r>
    <s v="2026/05/31"/>
    <s v="Mayo"/>
    <s v="Kia "/>
    <x v="4"/>
    <s v="EDGAR ALBERTO SERNA LLANO"/>
    <n v="265"/>
    <s v="LLAMADA EN LINEA"/>
    <n v="23142380"/>
    <s v="VKM 71179"/>
    <s v="2026-04-16"/>
    <s v="2026-05-11"/>
    <s v="2026-05-08"/>
    <s v="MOLINA DE GONZALEZ AMALIA"/>
    <n v="7"/>
    <s v="2027BL1A40__24G1600"/>
    <s v="K3 VIBRANT"/>
    <s v="3KPFC41ABVE188704"/>
    <n v="71313386"/>
    <n v="1781000"/>
    <n v="63159842"/>
    <n v="90568000"/>
    <s v="11%"/>
    <n v="0"/>
    <n v="499193.70199999993"/>
    <n v="499193.70199999993"/>
    <n v="6.9999999999999993E-3"/>
    <m/>
  </r>
  <r>
    <s v="2026/05/31"/>
    <s v="Mayo"/>
    <s v="Kia "/>
    <x v="4"/>
    <s v="EDGAR ALBERTO SERNA LLANO"/>
    <n v="265"/>
    <s v="VITRINA"/>
    <n v="27079189"/>
    <s v="VKM 71274"/>
    <s v="2026-05-26"/>
    <s v="1970-01-01"/>
    <s v="2026-05-28"/>
    <s v="GALVEZ ZUASNABAR EDGAR"/>
    <n v="7"/>
    <s v="2027BL1M40__25G1600"/>
    <s v="K3 CROSS VIBRANT MT"/>
    <s v="3KPFF51AAVE194211"/>
    <n v="64811024"/>
    <n v="1814000"/>
    <n v="58107349"/>
    <n v="82310000"/>
    <s v="10%"/>
    <n v="45570945"/>
    <n v="453677.16799999995"/>
    <m/>
    <n v="6.9999999999999993E-3"/>
    <m/>
  </r>
  <r>
    <s v="2026/05/31"/>
    <s v="Mayo"/>
    <s v="Kia "/>
    <x v="4"/>
    <s v="EDGAR ALBERTO SERNA LLANO"/>
    <n v="265"/>
    <s v="REFERIDO"/>
    <n v="27059833"/>
    <s v="VKM 71242"/>
    <s v="2026-05-14"/>
    <s v="1970-01-01"/>
    <s v="2026-05-15"/>
    <s v="ARENAS PATIÑO OSCAR"/>
    <n v="7"/>
    <s v="2027BL1A60__25G1601"/>
    <s v="K3 CROSS ZENITH"/>
    <s v="3KPFF51ABVE180061"/>
    <n v="76346457"/>
    <n v="1781000"/>
    <n v="69655906"/>
    <n v="96960000"/>
    <s v="9%"/>
    <n v="0"/>
    <n v="534425.19899999991"/>
    <n v="534425.19899999991"/>
    <n v="6.9999999999999984E-3"/>
    <m/>
  </r>
  <r>
    <s v="2026/05/31"/>
    <s v="Mayo"/>
    <s v="Kia "/>
    <x v="4"/>
    <s v="EDGAR ALBERTO SERNA LLANO"/>
    <n v="265"/>
    <s v="REFERIDO"/>
    <n v="27085220"/>
    <s v="VKM 71287"/>
    <s v="2026-05-29"/>
    <s v="1970-01-01"/>
    <s v="2026-05-30"/>
    <s v="OCAMPO DE ECHEVERRI LILIANA"/>
    <n v="7"/>
    <s v="2027BL1A40__25G1600"/>
    <s v="K3 CROSS VIBRANT"/>
    <s v="3KPFF51ABVE196228"/>
    <n v="70866142"/>
    <n v="1814000"/>
    <n v="63159842"/>
    <n v="90000000"/>
    <s v="11%"/>
    <n v="90000000"/>
    <n v="496062.99399999995"/>
    <m/>
    <n v="6.9999999999999993E-3"/>
    <m/>
  </r>
  <r>
    <s v="2026/05/31"/>
    <s v="Mayo"/>
    <s v="Kia "/>
    <x v="4"/>
    <s v="EDGAR ALBERTO SERNA LLANO"/>
    <n v="265"/>
    <s v="REFERIDO"/>
    <n v="27071611"/>
    <s v="VKM 71254"/>
    <s v="2026-05-21"/>
    <s v="1970-01-01"/>
    <s v="2026-05-29"/>
    <s v="LOPEZ AGUIRRE MARIA DE LOS ANGELES"/>
    <n v="7"/>
    <s v="2027JA3M45__25G1202"/>
    <s v="PICANTO ZENITH MT"/>
    <s v="KNAB2512AVT513614"/>
    <n v="52874409"/>
    <n v="712800"/>
    <n v="46908793"/>
    <n v="67150500"/>
    <s v="11%"/>
    <n v="25150500"/>
    <n v="370120.86299999995"/>
    <m/>
    <n v="6.9999999999999993E-3"/>
    <m/>
  </r>
  <r>
    <s v="2026/05/31"/>
    <s v="Mayo"/>
    <s v="Kia "/>
    <x v="4"/>
    <s v="EDGAR ALBERTO SERNA LLANO"/>
    <n v="265"/>
    <s v="VITRINA"/>
    <n v="27061307"/>
    <s v="VKM 71246"/>
    <s v="2026-05-15"/>
    <s v="2026-05-28"/>
    <s v="2026-05-25"/>
    <s v="ALZATE PARRA LUIS EDILBERTO"/>
    <n v="7"/>
    <s v="2027NQ2A65__25H1601"/>
    <s v="SPORTAGE ZENITH"/>
    <s v="KNAPV81GBV7369759"/>
    <n v="158274336"/>
    <n v="1199600"/>
    <n v="141761947"/>
    <n v="178850000"/>
    <s v="10%"/>
    <n v="0"/>
    <n v="1107920.352"/>
    <n v="1107920.352"/>
    <n v="7.0000000000000001E-3"/>
    <m/>
  </r>
  <r>
    <s v="2026/05/31"/>
    <s v="Mayo"/>
    <s v="Kia "/>
    <x v="4"/>
    <s v="EDGAR ALBERTO SERNA LLANO"/>
    <n v="265"/>
    <s v="EVENTOS"/>
    <n v="27047503"/>
    <s v="VKM 71229"/>
    <s v="2026-05-08"/>
    <s v="1970-01-01"/>
    <s v="2026-05-21"/>
    <s v="FELIPE PEREZ SIERRA ANDRES"/>
    <n v="7"/>
    <s v="2027QY2M35__25G1503"/>
    <s v="SONET VIBRANT MT"/>
    <s v="LJD3BA1DAV0093416"/>
    <n v="70911024"/>
    <n v="1288200"/>
    <n v="64953412"/>
    <n v="90057000"/>
    <s v="8%"/>
    <n v="0"/>
    <n v="496377.16799999995"/>
    <n v="496377.16799999995"/>
    <n v="6.9999999999999993E-3"/>
    <m/>
  </r>
  <r>
    <s v="2026/05/31"/>
    <s v="Mayo"/>
    <s v="Kia "/>
    <x v="4"/>
    <s v="GERMAN LLANO BOTERO"/>
    <n v="297"/>
    <s v="Compraventero"/>
    <n v="27036266"/>
    <s v="VKM 71221"/>
    <s v="2026-05-05"/>
    <s v="2026-05-21"/>
    <s v="2026-05-20"/>
    <s v="CARDENAS VALENCIA MOISES"/>
    <n v="4"/>
    <s v="2027JA3M04T_25G1003"/>
    <s v="EKOTAXI"/>
    <s v="KNAB2511AVT484445"/>
    <n v="62731092"/>
    <n v="4049600"/>
    <n v="51027540"/>
    <n v="74650000"/>
    <s v="19%"/>
    <n v="0"/>
    <n v="313655"/>
    <n v="313655"/>
    <n v="4.9999926671131442E-3"/>
    <m/>
  </r>
  <r>
    <s v="2026/05/31"/>
    <s v="Mayo"/>
    <s v="Kia "/>
    <x v="4"/>
    <s v="GERMAN LLANO BOTERO"/>
    <n v="297"/>
    <s v="VITRINA"/>
    <n v="27076030"/>
    <s v="VKM 71265"/>
    <s v="2026-05-23"/>
    <s v="1970-01-01"/>
    <s v="2026-05-30"/>
    <s v="SERNA CARDONA ELIANA MARIA"/>
    <n v="4"/>
    <s v="2027NQ2A45__25G1601"/>
    <s v="SPORTAGE VIBRANT"/>
    <s v="KNAPV81BBV7510820"/>
    <n v="117559055"/>
    <n v="1131200"/>
    <n v="103457480"/>
    <n v="149300000"/>
    <s v="12%"/>
    <n v="0"/>
    <n v="587795"/>
    <n v="587795"/>
    <n v="4.9999976607501655E-3"/>
    <m/>
  </r>
  <r>
    <s v="2026/05/31"/>
    <s v="Mayo"/>
    <s v="Kia "/>
    <x v="4"/>
    <s v="GERMAN LLANO BOTERO"/>
    <n v="297"/>
    <s v="REFERIDO"/>
    <n v="27073791"/>
    <s v="VKM 71263"/>
    <s v="2026-05-22"/>
    <s v="1970-01-01"/>
    <s v="2026-05-29"/>
    <s v="CALDERON MARIA ELENA"/>
    <n v="4"/>
    <s v="2027QY2M35__25G1503"/>
    <s v="SONET VIBRANT MT"/>
    <s v="LJD3BA1DAV0091933"/>
    <n v="71968504"/>
    <n v="1131200"/>
    <n v="64953412"/>
    <n v="91400000"/>
    <s v="10%"/>
    <n v="0"/>
    <n v="359843"/>
    <n v="359843"/>
    <n v="5.0000066695842392E-3"/>
    <m/>
  </r>
  <r>
    <s v="2026/05/31"/>
    <s v="Mayo"/>
    <s v="Kia "/>
    <x v="4"/>
    <s v="JORGE ANDRES OCAMPO GIRALDO"/>
    <n v="324"/>
    <s v="VITRINA"/>
    <n v="27052697"/>
    <s v="VKM 71237"/>
    <s v="2026-05-12"/>
    <s v="2026-05-25"/>
    <s v="2026-05-15"/>
    <s v="LOPEZ IGLESIAS MOISES DAVID"/>
    <n v="6"/>
    <s v="2027BL1A70__25G1601"/>
    <s v="K3 CROSS GT LINE"/>
    <s v="3KPFD51ABVE180334"/>
    <n v="82950632"/>
    <n v="1781000"/>
    <n v="77595538"/>
    <n v="105347303"/>
    <s v="6%"/>
    <n v="0"/>
    <n v="580654.42399999988"/>
    <n v="580654.42399999988"/>
    <n v="6.9999999999999984E-3"/>
    <m/>
  </r>
  <r>
    <s v="2026/05/31"/>
    <s v="Mayo"/>
    <s v="Kia "/>
    <x v="4"/>
    <s v="JORGE ANDRES OCAMPO GIRALDO"/>
    <n v="324"/>
    <s v="VITRINA"/>
    <n v="27050654"/>
    <s v="VKM 71231"/>
    <s v="2026-05-11"/>
    <s v="2026-05-30"/>
    <s v="2026-05-15"/>
    <s v="DAZA LINCE CAROLINA"/>
    <n v="6"/>
    <s v="2027BL1A40__25G1600"/>
    <s v="K3 CROSS VIBRANT"/>
    <s v="3KPFF51ABVE180618"/>
    <n v="71080712"/>
    <n v="1981000"/>
    <n v="64603412"/>
    <n v="90272504"/>
    <s v="9%"/>
    <n v="0"/>
    <n v="497564.98399999994"/>
    <n v="497564.98399999994"/>
    <n v="6.9999999999999993E-3"/>
    <m/>
  </r>
  <r>
    <s v="2026/05/31"/>
    <s v="Mayo"/>
    <s v="Kia "/>
    <x v="4"/>
    <s v="JORGE ANDRES OCAMPO GIRALDO"/>
    <n v="324"/>
    <s v="REFERIDO"/>
    <n v="27078448"/>
    <s v="VKM 71272"/>
    <s v="2026-05-25"/>
    <s v="1970-01-01"/>
    <s v="2026-05-29"/>
    <s v="NIETO RIOS JOHN JAIRO"/>
    <n v="6"/>
    <s v="2027JA3M20__25G1002"/>
    <s v="PICANTO VIBRANT"/>
    <s v="KNAB2511AVT514512"/>
    <n v="45513546"/>
    <n v="712800"/>
    <n v="41856299"/>
    <n v="57802203"/>
    <s v="8%"/>
    <n v="55294203"/>
    <n v="318594.82199999999"/>
    <m/>
    <n v="6.9999999999999993E-3"/>
    <m/>
  </r>
  <r>
    <s v="2026/05/31"/>
    <s v="Mayo"/>
    <s v="Kia "/>
    <x v="4"/>
    <s v="JORGE ANDRES OCAMPO GIRALDO"/>
    <n v="324"/>
    <s v="VITRINA"/>
    <n v="27072234"/>
    <s v="VKM 71251"/>
    <s v="2026-05-21"/>
    <s v="1970-01-01"/>
    <s v="2026-05-29"/>
    <s v="GIRALDO CANO RAUL DE JESUS"/>
    <n v="6"/>
    <s v="2027JA3M45__25G1202"/>
    <s v="PICANTO ZENITH MT"/>
    <s v="KNAB2512AVT513541"/>
    <n v="52400891"/>
    <n v="1062800"/>
    <n v="46908793"/>
    <n v="66549132"/>
    <s v="10%"/>
    <n v="66549132"/>
    <n v="366806.23699999996"/>
    <m/>
    <n v="6.9999999999999993E-3"/>
    <m/>
  </r>
  <r>
    <s v="2026/05/31"/>
    <s v="Mayo"/>
    <s v="Kia "/>
    <x v="4"/>
    <s v="JORGE ANDRES OCAMPO GIRALDO"/>
    <n v="324"/>
    <s v="REFERIDO"/>
    <n v="27068627"/>
    <s v="VKM 71248"/>
    <s v="2026-05-20"/>
    <s v="2026-05-23"/>
    <s v="2026-05-21"/>
    <s v="GUTIERREZ GARCIA MARIA DEL SOCORRO"/>
    <n v="6"/>
    <s v="2027NQ2A40__25H1600"/>
    <s v="SPORTAGE VIBRANT"/>
    <s v="KNAPU81GBV7361819"/>
    <n v="134422392"/>
    <n v="1299600"/>
    <n v="127425664"/>
    <n v="151897303"/>
    <s v="5%"/>
    <n v="0"/>
    <n v="940956.74399999995"/>
    <n v="940956.74399999995"/>
    <n v="6.9999999999999993E-3"/>
    <m/>
  </r>
  <r>
    <s v="2026/05/31"/>
    <s v="Mayo"/>
    <s v="Kia "/>
    <x v="4"/>
    <s v="JORGE ANDRES OCAMPO GIRALDO"/>
    <s v="324"/>
    <s v="EVENTOS"/>
    <n v="26996030"/>
    <s v="VKM 71174"/>
    <s v="2026-04-16"/>
    <s v="1970-01-01"/>
    <s v="2026-05-04"/>
    <s v="ARIAS CASTRO JULIAN DAVID"/>
    <n v="6"/>
    <s v="2027QY2A51__25G1503"/>
    <s v="SONET ZENITH"/>
    <s v="LJD3BA1DEV0090370"/>
    <n v="86903096"/>
    <n v="1285600"/>
    <n v="82276247"/>
    <n v="110366932"/>
    <s v="5%"/>
    <n v="0"/>
    <n v="608321.6719999999"/>
    <n v="608321.6719999999"/>
    <n v="6.9999999999999993E-3"/>
    <m/>
  </r>
  <r>
    <s v="2026/05/31"/>
    <s v="Mayo"/>
    <s v="Kia "/>
    <x v="4"/>
    <s v="JUAN SEBASTIAN ZAMORA ARROYAVE"/>
    <n v="1076"/>
    <s v="VITRINA"/>
    <n v="27079101"/>
    <s v="VKM 71273"/>
    <s v="2026-05-25"/>
    <s v="1970-01-01"/>
    <s v="2026-05-29"/>
    <s v="CANO BEDOYA JUAN DAVID"/>
    <n v="2"/>
    <s v="2027JA3M20__25G1002"/>
    <s v="PICANTO VIBRANT"/>
    <s v="KNAB2511AVT514182"/>
    <n v="44653543"/>
    <n v="712800"/>
    <n v="41856299"/>
    <n v="56710000"/>
    <s v="6%"/>
    <n v="0"/>
    <n v="200941"/>
    <n v="200941"/>
    <n v="4.5000012652971341E-3"/>
    <m/>
  </r>
  <r>
    <s v="2026/05/31"/>
    <s v="Mayo"/>
    <s v="Kia "/>
    <x v="4"/>
    <s v="JUAN SEBASTIAN ZAMORA ARROYAVE"/>
    <n v="1076"/>
    <s v="PAGINA WEB ARMOTOR"/>
    <n v="27070183"/>
    <s v="VKM 71271"/>
    <s v="2026-05-25"/>
    <s v="1970-01-01"/>
    <s v="2026-05-30"/>
    <s v="BOTERO SANCHEZ SEBASTIAN"/>
    <n v="2"/>
    <s v="2027NQ2A40__25H1600"/>
    <s v="SPORTAGE VIBRANT"/>
    <s v="KNAPU81GBV7386509"/>
    <n v="139814159"/>
    <n v="1199600"/>
    <n v="121850442"/>
    <n v="157990000"/>
    <s v="13%"/>
    <n v="154883400"/>
    <n v="629164"/>
    <m/>
    <n v="4.5000020348439813E-3"/>
    <m/>
  </r>
  <r>
    <s v="2026/05/31"/>
    <s v="Mayo"/>
    <s v="Kia "/>
    <x v="4"/>
    <s v="KENNY ALEJANDRO CANO ALVAREZ"/>
    <n v="308"/>
    <s v="VITRINA"/>
    <n v="27090244"/>
    <s v="VKM 71289"/>
    <s v="2026-05-29"/>
    <s v="1970-01-01"/>
    <s v="2026-05-30"/>
    <s v="PARRA CORTES JUAN DAVID"/>
    <n v="9"/>
    <s v="2027BL1A40__24G1600"/>
    <s v="K3 VIBRANT"/>
    <s v="3KPFC41ABVE188483"/>
    <n v="66684252"/>
    <n v="1431000"/>
    <n v="63159842"/>
    <n v="84689000"/>
    <s v="5%"/>
    <n v="0"/>
    <n v="566816"/>
    <n v="566816"/>
    <n v="8.499997870561703E-3"/>
    <m/>
  </r>
  <r>
    <s v="2026/05/31"/>
    <s v="Mayo"/>
    <s v="Kia "/>
    <x v="4"/>
    <s v="KENNY ALEJANDRO CANO ALVAREZ"/>
    <n v="308"/>
    <s v="VITRINA"/>
    <n v="27079041"/>
    <s v="VKM 71275"/>
    <s v="2026-05-26"/>
    <s v="1970-01-01"/>
    <s v="2026-05-28"/>
    <s v="SANCHEZ AGUIRRE ESTEFANIA"/>
    <n v="9"/>
    <s v="2027BL1A70__25G1601"/>
    <s v="K3 CROSS GT LINE"/>
    <s v="3KPFD51ABVE196233"/>
    <n v="83003386"/>
    <n v="1814000"/>
    <n v="76151969"/>
    <n v="105414300"/>
    <s v="8%"/>
    <n v="74057800"/>
    <n v="705529"/>
    <m/>
    <n v="8.5000026384465816E-3"/>
    <m/>
  </r>
  <r>
    <s v="2026/05/31"/>
    <s v="Mayo"/>
    <s v="Kia "/>
    <x v="4"/>
    <s v="KENNY ALEJANDRO CANO ALVAREZ"/>
    <n v="308"/>
    <s v="VITRINA"/>
    <n v="27087370"/>
    <s v="VKM 71285"/>
    <s v="2026-05-28"/>
    <s v="1970-01-01"/>
    <s v="2026-05-29"/>
    <s v="GRISALES MARTINEZ LADY VANESSA"/>
    <n v="9"/>
    <s v="2027BL1M40__25G1600"/>
    <s v="K3 CROSS VIBRANT MT"/>
    <s v="3KPFF51AAVE194085"/>
    <n v="63452168"/>
    <n v="3920000"/>
    <n v="58107349"/>
    <n v="80584253"/>
    <s v="8%"/>
    <n v="53584253"/>
    <n v="539343"/>
    <m/>
    <n v="8.4999932547616033E-3"/>
    <m/>
  </r>
  <r>
    <s v="2026/05/31"/>
    <s v="Mayo"/>
    <s v="Kia "/>
    <x v="4"/>
    <s v="KENNY ALEJANDRO CANO ALVAREZ"/>
    <n v="308"/>
    <s v="VITRINA"/>
    <n v="27047223"/>
    <s v="VKM 71239"/>
    <s v="2026-05-13"/>
    <s v="1970-01-01"/>
    <s v="2026-05-26"/>
    <s v="MEJIA DE GALVIS FLORALBA"/>
    <n v="9"/>
    <s v="2027NQ2A40__25H1600"/>
    <s v="SPORTAGE VIBRANT"/>
    <s v="KNAPU81GBV7366040"/>
    <n v="137211596"/>
    <n v="1199600"/>
    <n v="127425664"/>
    <n v="155049103"/>
    <s v="7%"/>
    <n v="150049103"/>
    <n v="1166299"/>
    <m/>
    <n v="8.5000031629979735E-3"/>
    <m/>
  </r>
  <r>
    <s v="2026/05/31"/>
    <s v="Mayo"/>
    <s v="Kia "/>
    <x v="4"/>
    <s v="KENNY ALEJANDRO CANO ALVAREZ"/>
    <n v="308"/>
    <s v="VITRINA"/>
    <n v="27015500"/>
    <s v="VKM 71191"/>
    <s v="2026-04-23"/>
    <s v="2026-05-23"/>
    <s v="2026-05-14"/>
    <s v="PAREJA CARDONA EDUIN"/>
    <n v="9"/>
    <s v="2026NQ2A65__25H1601"/>
    <s v="SPORTAGE ZENITH"/>
    <s v="KNAPV81GBT7370247"/>
    <n v="150814159"/>
    <n v="1199600"/>
    <n v="135390266"/>
    <n v="170420000"/>
    <s v="10%"/>
    <n v="0"/>
    <n v="1281920"/>
    <n v="1281920"/>
    <n v="8.4999976693169773E-3"/>
    <m/>
  </r>
  <r>
    <s v="2026/05/31"/>
    <s v="Mayo"/>
    <s v="Kia "/>
    <x v="4"/>
    <s v="KENNY ALEJANDRO CANO ALVAREZ"/>
    <n v="308"/>
    <s v="VITRINA"/>
    <n v="27047083"/>
    <s v="VKM 71228"/>
    <s v="2026-05-08"/>
    <s v="1970-01-01"/>
    <s v="2026-05-29"/>
    <s v="JIMENEZ VELEZ LEYDI JOANA"/>
    <n v="9"/>
    <s v="2027NQ2A65__25H1601"/>
    <s v="SPORTAGE ZENITH"/>
    <s v="KNAPV81GBV7370098"/>
    <n v="155437168"/>
    <n v="1199600"/>
    <n v="141761947"/>
    <n v="175644000"/>
    <s v="9%"/>
    <n v="0"/>
    <n v="1321216"/>
    <n v="1321216"/>
    <n v="8.5000004632096744E-3"/>
    <m/>
  </r>
  <r>
    <s v="2026/05/31"/>
    <s v="Mayo"/>
    <s v="Kia "/>
    <x v="4"/>
    <s v="KENNY ALEJANDRO CANO ALVAREZ"/>
    <n v="308"/>
    <s v="VITRINA"/>
    <n v="27052037"/>
    <s v="VKM 71234"/>
    <s v="2026-05-12"/>
    <s v="2026-06-03"/>
    <s v="2026-05-28"/>
    <s v="JARAMILLO COTE GERMAN"/>
    <n v="9"/>
    <s v="2027NQ2A65__25H1601"/>
    <s v="SPORTAGE ZENITH"/>
    <s v="KNAPV81GBV7370291"/>
    <n v="155929204"/>
    <n v="1199600"/>
    <n v="141761947"/>
    <n v="176200000"/>
    <s v="9%"/>
    <n v="0"/>
    <n v="1325398"/>
    <n v="1325398"/>
    <n v="8.4999984993189594E-3"/>
    <m/>
  </r>
  <r>
    <s v="2026/05/31"/>
    <s v="Mayo"/>
    <s v="Kia "/>
    <x v="4"/>
    <s v="KENNY ALEJANDRO CANO ALVAREZ"/>
    <n v="308"/>
    <s v="AGENCIA PUBLICIDAD"/>
    <n v="27053331"/>
    <s v="VKM 71238"/>
    <s v="2026-05-13"/>
    <s v="2026-06-01"/>
    <s v="2026-05-23"/>
    <s v="RIVERA SALAZAR LUZ STELLA"/>
    <n v="9"/>
    <s v="2027QY2M35__25G1503"/>
    <s v="SONET VIBRANT MT"/>
    <s v="LJD3BA1DAV0091930"/>
    <n v="69990790"/>
    <n v="1120200"/>
    <n v="64953412"/>
    <n v="88888303"/>
    <s v="7%"/>
    <n v="0"/>
    <n v="594922"/>
    <n v="297461"/>
    <n v="8.5000040719643254E-3"/>
    <m/>
  </r>
  <r>
    <s v="2026/05/31"/>
    <s v="Mayo"/>
    <s v="Kia "/>
    <x v="4"/>
    <s v="KENNY ALEJANDRO CANO ALVAREZ"/>
    <n v="308"/>
    <s v="VITRINA"/>
    <n v="27046960"/>
    <s v="VKM 71227"/>
    <s v="2026-05-08"/>
    <s v="2026-05-26"/>
    <s v="2026-05-23"/>
    <s v="JIMENEZ ACEVEDO DEISY"/>
    <n v="9"/>
    <s v="2026QY2A50__25G1500"/>
    <s v="SONET ZENITH"/>
    <s v="LJD3BA1DET0086304"/>
    <n v="85689764"/>
    <n v="2624000"/>
    <n v="81554462"/>
    <n v="108826000"/>
    <s v="5%"/>
    <n v="0"/>
    <n v="728363"/>
    <n v="728363"/>
    <n v="8.5000000700200321E-3"/>
    <m/>
  </r>
  <r>
    <s v="2026/05/31"/>
    <s v="Mayo"/>
    <s v="Kia "/>
    <x v="4"/>
    <s v="SEBASTIAN GIRALDO PINEDA"/>
    <n v="1077"/>
    <s v="AGENCIA PUBLICIDAD"/>
    <n v="27037134"/>
    <s v="VKM 71219"/>
    <s v="2026-05-04"/>
    <s v="2026-05-15"/>
    <s v="2026-05-11"/>
    <s v="MAZO LOPEZ DORA LILIA"/>
    <n v="2"/>
    <s v="2027BL1A70__25G1601"/>
    <s v="K3 CROSS GT LINE"/>
    <s v="3KPFD51ABVE187278"/>
    <n v="83207087"/>
    <n v="1431000"/>
    <n v="76873753"/>
    <n v="105673000"/>
    <s v="8%"/>
    <n v="0"/>
    <n v="332828"/>
    <n v="332828"/>
    <n v="3.9999958176639445E-3"/>
    <m/>
  </r>
  <r>
    <s v="2026/05/31"/>
    <s v="Mayo"/>
    <s v="Kia "/>
    <x v="4"/>
    <s v="SEBASTIAN GIRALDO PINEDA"/>
    <n v="1077"/>
    <s v="AGENCIA PUBLICIDAD"/>
    <n v="27032747"/>
    <s v="VKM 71216"/>
    <s v="2026-04-30"/>
    <s v="2026-05-09"/>
    <s v="2026-05-06"/>
    <s v="RESTREPO GUZMAN JULIAN ANDRES"/>
    <n v="2"/>
    <s v="2027BL1A40__25G1600"/>
    <s v="K3 CROSS VIBRANT"/>
    <s v="3KPFF51ABVE180639"/>
    <n v="68541732"/>
    <n v="1431000"/>
    <n v="64603412"/>
    <n v="87048000"/>
    <s v="6%"/>
    <n v="0"/>
    <n v="274167"/>
    <n v="274167"/>
    <n v="4.0000010504549254E-3"/>
    <m/>
  </r>
  <r>
    <s v="2026/05/31"/>
    <s v="Mayo"/>
    <s v="Kia "/>
    <x v="4"/>
    <s v="WALTER ZAPATA VASQUEZ"/>
    <n v="867"/>
    <s v="REFERIDO"/>
    <n v="27073170"/>
    <s v="VKM 71258"/>
    <s v="2026-05-21"/>
    <s v="2026-06-01"/>
    <s v="2026-05-29"/>
    <s v="ALBARRACIN GUZMAN LUZ ZORAIDA"/>
    <n v="9"/>
    <s v="2027BL1A40__24G1600"/>
    <s v="K3 VIBRANT"/>
    <s v="3KPFC41ABVE187212"/>
    <n v="70070866"/>
    <n v="2236997"/>
    <n v="63159842"/>
    <n v="88990000"/>
    <s v="10%"/>
    <n v="0"/>
    <n v="595602.36100000003"/>
    <n v="595602.36100000003"/>
    <n v="8.5000000000000006E-3"/>
    <m/>
  </r>
  <r>
    <s v="2026/05/31"/>
    <s v="Mayo"/>
    <s v="Kia "/>
    <x v="4"/>
    <s v="WALTER ZAPATA VASQUEZ"/>
    <n v="867"/>
    <s v="AUTOFINANCIERA"/>
    <n v="27085241"/>
    <s v="VKM 71280"/>
    <s v="2026-05-27"/>
    <s v="1970-01-01"/>
    <s v="2026-05-30"/>
    <s v="TABARES MORALES ARIEL ANTONIO"/>
    <n v="9"/>
    <s v="2027BL1M40__25G1600"/>
    <s v="K3 CROSS VIBRANT MT"/>
    <s v="3KPFF51AAVE194259"/>
    <n v="65047087"/>
    <n v="1464000"/>
    <n v="58107349"/>
    <n v="82609800"/>
    <s v="11%"/>
    <n v="82609800"/>
    <n v="552900.23950000003"/>
    <m/>
    <n v="8.5000000000000006E-3"/>
    <m/>
  </r>
  <r>
    <s v="2026/05/31"/>
    <s v="Mayo"/>
    <s v="Kia "/>
    <x v="4"/>
    <s v="WALTER ZAPATA VASQUEZ"/>
    <n v="867"/>
    <s v="REFERIDO"/>
    <n v="27049067"/>
    <s v="VKM 71240"/>
    <s v="2026-05-13"/>
    <s v="2026-05-23"/>
    <s v="2026-05-15"/>
    <s v="GONZALEZ LOPEZ LAURA"/>
    <n v="9"/>
    <s v="2027BL1A60__25G1601"/>
    <s v="K3 CROSS ZENITH"/>
    <s v="3KPFF51ABVE180492"/>
    <n v="76370079"/>
    <n v="1781000"/>
    <n v="69655906"/>
    <n v="96990000"/>
    <s v="9%"/>
    <n v="0"/>
    <n v="649145.67150000005"/>
    <n v="649145.67150000005"/>
    <n v="8.5000000000000006E-3"/>
    <m/>
  </r>
  <r>
    <s v="2026/05/31"/>
    <s v="Mayo"/>
    <s v="Kia "/>
    <x v="4"/>
    <s v="WALTER ZAPATA VASQUEZ"/>
    <n v="867"/>
    <s v="REFERIDO"/>
    <n v="27047954"/>
    <s v="VKM 71230"/>
    <s v="2026-05-11"/>
    <s v="2026-05-15"/>
    <s v="2026-05-13"/>
    <s v="FLOREZ QUINTERO JENNY SULETH"/>
    <n v="9"/>
    <s v="2027BL1A40__25G1600"/>
    <s v="K3 CROSS VIBRANT"/>
    <s v="3KPFF51ABVE181259"/>
    <n v="70858268"/>
    <n v="1781000"/>
    <n v="64603412"/>
    <n v="89990000"/>
    <s v="9%"/>
    <n v="0"/>
    <n v="602295.27800000005"/>
    <n v="602295.27800000005"/>
    <n v="8.5000000000000006E-3"/>
    <m/>
  </r>
  <r>
    <s v="2026/05/31"/>
    <s v="Mayo"/>
    <s v="Kia "/>
    <x v="4"/>
    <s v="WALTER ZAPATA VASQUEZ"/>
    <n v="867"/>
    <s v="REFERIDO"/>
    <n v="27076737"/>
    <s v="VKM 71266"/>
    <s v="2026-05-25"/>
    <s v="1970-01-01"/>
    <s v="2026-05-29"/>
    <s v="BETANCUR GUZMAN STHEFANIA"/>
    <n v="9"/>
    <s v="2027JA3M20__25G1002"/>
    <s v="PICANTO VIBRANT"/>
    <s v="KNAB2511AVT514511"/>
    <n v="45970160"/>
    <n v="712800"/>
    <n v="41856299"/>
    <n v="58382103"/>
    <s v="9%"/>
    <n v="18382103"/>
    <n v="390746.36000000004"/>
    <m/>
    <n v="8.5000000000000006E-3"/>
    <m/>
  </r>
  <r>
    <s v="2026/05/31"/>
    <s v="Mayo"/>
    <s v="Kia "/>
    <x v="4"/>
    <s v="WALTER ZAPATA VASQUEZ"/>
    <n v="867"/>
    <s v="REFERIDO"/>
    <n v="27071521"/>
    <s v="VKM 71250"/>
    <s v="2026-05-21"/>
    <s v="1970-01-01"/>
    <s v="2026-05-29"/>
    <s v="GOMEZ OCAMPO HECTOR HERNAN"/>
    <n v="9"/>
    <s v="2027JA3M45__25G1202"/>
    <s v="PICANTO ZENITH MT"/>
    <s v="KNAB2512AVT514029"/>
    <n v="52700787"/>
    <n v="1062800"/>
    <n v="46908793"/>
    <n v="66930000"/>
    <s v="11%"/>
    <n v="46930000"/>
    <n v="447956.68950000004"/>
    <m/>
    <n v="8.5000000000000006E-3"/>
    <m/>
  </r>
  <r>
    <s v="2026/05/31"/>
    <s v="Mayo"/>
    <s v="Kia "/>
    <x v="4"/>
    <s v="WALTER ZAPATA VASQUEZ"/>
    <n v="867"/>
    <s v="AUTOFINANCIERA"/>
    <n v="27045122"/>
    <s v="VKM 71233"/>
    <s v="2026-05-11"/>
    <s v="1970-01-01"/>
    <s v="2026-05-29"/>
    <s v="MONTOYA NOREÑA JUAN PABLO"/>
    <n v="9"/>
    <s v="2027QY2M35__25G1503"/>
    <s v="SONET VIBRANT MT"/>
    <s v="LJD3BA1DAV0092733"/>
    <n v="72275433"/>
    <n v="781200"/>
    <n v="64953412"/>
    <n v="91789800"/>
    <s v="10%"/>
    <n v="0"/>
    <n v="614341.18050000002"/>
    <n v="614341.18050000002"/>
    <n v="8.5000000000000006E-3"/>
    <m/>
  </r>
  <r>
    <s v="2026/05/31"/>
    <s v="Mayo"/>
    <s v="Kia "/>
    <x v="4"/>
    <s v="WALTER ZAPATA VASQUEZ"/>
    <s v="867"/>
    <s v="REFERIDO"/>
    <n v="27091876"/>
    <s v="VKM 71291"/>
    <s v="2026-05-30"/>
    <s v="1970-01-01"/>
    <s v="2026-05-04"/>
    <s v="GARCIA DUQUE JHOAN FELIPE"/>
    <n v="9"/>
    <s v="2027BL1A40__24G1600"/>
    <s v="K3 VIBRANT"/>
    <s v="3KPFC41ABVE188710"/>
    <n v="66836302"/>
    <n v="1781000"/>
    <n v="63159842"/>
    <n v="84882104"/>
    <s v="4%"/>
    <n v="0"/>
    <n v="568108.56700000004"/>
    <n v="568108.56700000004"/>
    <n v="8.5000000000000006E-3"/>
    <m/>
  </r>
  <r>
    <s v="2026/05/31"/>
    <s v="Mayo"/>
    <s v="Kia "/>
    <x v="4"/>
    <s v="YEISON ESTIVEN GONZALEZ CARDONA"/>
    <n v="966"/>
    <s v="VITRINA"/>
    <n v="27053523"/>
    <s v="VKM 71241"/>
    <s v="2026-05-13"/>
    <s v="2026-05-28"/>
    <s v="2026-05-21"/>
    <s v="GARCIA TABARES CARLOS IVAN"/>
    <n v="9"/>
    <s v="2027BL1A70__25G1601"/>
    <s v="K3 CROSS GT LINE"/>
    <s v="3KPFD51ABVE180611"/>
    <n v="83004724"/>
    <n v="1781000"/>
    <n v="77595538"/>
    <n v="105416000"/>
    <s v="7%"/>
    <n v="0"/>
    <n v="705540"/>
    <n v="705540"/>
    <n v="8.4999981446839106E-3"/>
    <m/>
  </r>
  <r>
    <s v="2026/05/31"/>
    <s v="Mayo"/>
    <s v="Kia "/>
    <x v="4"/>
    <s v="YEISON ESTIVEN GONZALEZ CARDONA"/>
    <n v="966"/>
    <s v="VITRINA"/>
    <n v="27050483"/>
    <s v="VKM 71232"/>
    <s v="2026-05-11"/>
    <s v="1970-01-01"/>
    <s v="2026-05-29"/>
    <s v="BOTERO TRUJILLO JUAN JOSE"/>
    <n v="9"/>
    <s v="2027BL1A70__24G1601"/>
    <s v="K3 GT LINE"/>
    <s v="3KPFE41ABVE187388"/>
    <n v="81429134"/>
    <n v="1431000"/>
    <n v="76151969"/>
    <n v="103415000"/>
    <s v="6%"/>
    <n v="0"/>
    <n v="692148"/>
    <n v="692148"/>
    <n v="8.5000044333027047E-3"/>
    <m/>
  </r>
  <r>
    <s v="2026/05/31"/>
    <s v="Mayo"/>
    <s v="Kia "/>
    <x v="4"/>
    <s v="YEISON ESTIVEN GONZALEZ CARDONA"/>
    <n v="966"/>
    <s v="VITRINA"/>
    <n v="27083326"/>
    <s v="VKM 71279"/>
    <s v="2026-05-26"/>
    <s v="1970-01-01"/>
    <s v="2026-05-29"/>
    <s v="ALVAREZ MORALES ELSA LILIANA"/>
    <n v="9"/>
    <s v="2027BL1M40__25G1600"/>
    <s v="K3 CROSS VIBRANT MT"/>
    <s v="3KPFF51AAVE194224"/>
    <n v="63495458"/>
    <n v="1464000"/>
    <n v="58107349"/>
    <n v="80639232"/>
    <s v="8%"/>
    <n v="80639232"/>
    <n v="539711"/>
    <m/>
    <n v="8.4999938105809088E-3"/>
    <m/>
  </r>
  <r>
    <s v="2026/05/31"/>
    <s v="Mayo"/>
    <s v="Kia "/>
    <x v="4"/>
    <s v="YEISON ESTIVEN GONZALEZ CARDONA"/>
    <n v="966"/>
    <s v="VITRINA"/>
    <n v="27070314"/>
    <s v="VKM 71249"/>
    <s v="2026-05-21"/>
    <s v="2026-05-27"/>
    <s v="2026-05-26"/>
    <s v="MUÑOZ ROJAS ELIANA CHARLOTH"/>
    <n v="9"/>
    <s v="2027BL1A40__25G1600"/>
    <s v="K3 CROSS VIBRANT"/>
    <s v="3KPFF51ABVE174629"/>
    <n v="68785278"/>
    <n v="1431000"/>
    <n v="64603412"/>
    <n v="87357303"/>
    <s v="6%"/>
    <n v="0"/>
    <n v="584675"/>
    <n v="584675"/>
    <n v="8.5000019917052597E-3"/>
    <m/>
  </r>
  <r>
    <s v="2026/05/31"/>
    <s v="Mayo"/>
    <s v="Kia "/>
    <x v="4"/>
    <s v="YEISON ESTIVEN GONZALEZ CARDONA"/>
    <n v="966"/>
    <s v="REFERIDO"/>
    <n v="27067270"/>
    <s v="VKM 71247"/>
    <s v="2026-05-19"/>
    <s v="2026-05-23"/>
    <s v="2026-05-21"/>
    <s v="ESCOBAR ESTRADA JUAN CARLOS"/>
    <n v="9"/>
    <s v="2027BL1A60__25G1601"/>
    <s v="K3 CROSS ZENITH"/>
    <s v="3KPFF51ABVE180482"/>
    <n v="74462992"/>
    <n v="1781000"/>
    <n v="69655906"/>
    <n v="94568000"/>
    <s v="6%"/>
    <n v="0"/>
    <n v="632935"/>
    <n v="632935"/>
    <n v="8.4999941984603578E-3"/>
    <m/>
  </r>
  <r>
    <s v="2026/05/31"/>
    <s v="Mayo"/>
    <s v="Kia "/>
    <x v="4"/>
    <s v="YEISON ESTIVEN GONZALEZ CARDONA"/>
    <n v="966"/>
    <s v="VITRINA"/>
    <n v="27071700"/>
    <s v="VKM 71252"/>
    <s v="2026-05-21"/>
    <s v="1970-01-01"/>
    <s v="2026-05-29"/>
    <s v="BUITRAGO ESPINOSA ROBINSON"/>
    <n v="9"/>
    <s v="2027JA3M20__25G1002"/>
    <s v="PICANTO VIBRANT"/>
    <s v="KNAB2511AVT514848"/>
    <n v="44600317"/>
    <n v="712800"/>
    <n v="41856299"/>
    <n v="56642403"/>
    <s v="6%"/>
    <n v="9928703"/>
    <n v="379103"/>
    <m/>
    <n v="8.5000068497270986E-3"/>
    <m/>
  </r>
  <r>
    <s v="2026/05/31"/>
    <s v="Mayo"/>
    <s v="Kia "/>
    <x v="4"/>
    <s v="YEISON ESTIVEN GONZALEZ CARDONA"/>
    <n v="966"/>
    <s v="VITRINA"/>
    <n v="27082483"/>
    <s v="VKM 71278"/>
    <s v="2026-05-26"/>
    <s v="1970-01-01"/>
    <s v="2026-05-29"/>
    <s v="PARDO RINCON GERMAN RUBEN"/>
    <n v="9"/>
    <s v="2027YB2A40__25H1001"/>
    <s v="STONIC VIBRANT"/>
    <s v="KNAD6817GVT121394"/>
    <n v="85979914"/>
    <n v="735600"/>
    <n v="78761143"/>
    <n v="97157303"/>
    <s v="8%"/>
    <n v="96705303"/>
    <n v="730829"/>
    <m/>
    <n v="8.4999968713623045E-3"/>
    <m/>
  </r>
  <r>
    <s v="2026/05/31"/>
    <s v="Mayo"/>
    <s v="Kia "/>
    <x v="4"/>
    <s v="YEISON ESTIVEN GONZALEZ CARDONA"/>
    <n v="966"/>
    <s v="AGENCIA PUBLICIDAD"/>
    <n v="27050012"/>
    <s v="VKM 71236"/>
    <s v="2026-05-12"/>
    <s v="2026-05-20"/>
    <s v="2026-05-15"/>
    <s v="DELGADO VALENCIA DIANA ALEJANDRA"/>
    <n v="9"/>
    <s v="2027YB2A31__25H1000"/>
    <s v="STONIC DESIRE"/>
    <s v="KNADA817GVT100867"/>
    <n v="81246046"/>
    <n v="714000"/>
    <n v="79564910"/>
    <n v="91808032"/>
    <s v="2%"/>
    <n v="0"/>
    <n v="690591"/>
    <n v="690591"/>
    <n v="8.4999951874581078E-3"/>
    <m/>
  </r>
  <r>
    <s v="2026/05/31"/>
    <s v="Mayo"/>
    <s v="Kia "/>
    <x v="4"/>
    <s v="YEISON ESTIVEN GONZALEZ CARDONA"/>
    <n v="966"/>
    <s v="VITRINA"/>
    <n v="27033479"/>
    <s v="VKM 71218"/>
    <s v="2026-04-30"/>
    <s v="2026-05-13"/>
    <s v="2026-05-08"/>
    <s v="ARENAS GALVIS MONICA VIVIANA"/>
    <n v="9"/>
    <s v="2027QY2A35__25G1503"/>
    <s v="SONET VIBRANT"/>
    <s v="LJD3BA1DEV0090555"/>
    <n v="75984252"/>
    <n v="1131200"/>
    <n v="72885608"/>
    <n v="96500000"/>
    <s v="4%"/>
    <n v="0"/>
    <n v="645866"/>
    <n v="645866"/>
    <n v="8.4999981311917102E-3"/>
    <m/>
  </r>
  <r>
    <s v="2026/05/31"/>
    <s v="Mayo"/>
    <s v="Honda "/>
    <x v="5"/>
    <s v="ADRIANA JARAMILLO HENAO"/>
    <n v="998"/>
    <s v="AGENCIA PUBLICIDAD"/>
    <n v="27025510"/>
    <s v="VKM 71208"/>
    <s v="2026-04-28"/>
    <s v="2026-05-23"/>
    <s v="2026-05-08"/>
    <s v="CALERO SALDARRIAGA YULIANA"/>
    <n v="2"/>
    <s v="2026WR-V PRESTIGE"/>
    <s v="WR-V EXL-A CVT"/>
    <s v="93HDG5840TK502498"/>
    <n v="92047244"/>
    <n v="775000"/>
    <n v="83302756"/>
    <n v="116900000"/>
    <s v="9%"/>
    <n v="0"/>
    <n v="920472"/>
    <n v="920472"/>
    <n v="9.9999952198460175E-3"/>
    <m/>
  </r>
  <r>
    <s v="2026/05/31"/>
    <s v="Mayo"/>
    <s v="Honda "/>
    <x v="5"/>
    <s v="ADRIANA JARAMILLO HENAO"/>
    <n v="998"/>
    <s v="REFERIDO"/>
    <n v="27057861"/>
    <s v="VKM 71244"/>
    <s v="2026-05-14"/>
    <s v="2026-05-21"/>
    <s v="2026-05-20"/>
    <s v="SOLUCIONES EFECTIVAS LYG S.A.S"/>
    <n v="2"/>
    <s v="2026HR-V EXL PRESTIGE 2WD"/>
    <s v="HR-V EXL-A"/>
    <s v="93HRV3860TK303642"/>
    <n v="97244094"/>
    <n v="425000"/>
    <n v="89495276"/>
    <n v="123500000"/>
    <s v="8%"/>
    <n v="0"/>
    <n v="972441"/>
    <n v="972441"/>
    <n v="1.0000000617004052E-2"/>
    <m/>
  </r>
  <r>
    <s v="2026/05/31"/>
    <s v="Mayo"/>
    <s v="Kia "/>
    <x v="6"/>
    <s v="CLAUDIA PATRICIA MAFLA CRUZ"/>
    <n v="950"/>
    <s v="MARCA"/>
    <n v="27049555"/>
    <s v="VKP 91678"/>
    <s v="2026-05-11"/>
    <s v="2026-05-27"/>
    <s v="2026-05-25"/>
    <s v="MEDINA FLOREZ MARIA CAMILA"/>
    <n v="8"/>
    <s v="2027BL1M30__24G1600"/>
    <s v="K3 DESIRE"/>
    <s v="3KPFC41AAVE187923"/>
    <n v="62984252"/>
    <n v="1431000"/>
    <n v="58107349"/>
    <n v="79990000"/>
    <s v="8%"/>
    <n v="0"/>
    <n v="535366"/>
    <n v="535366"/>
    <n v="8.4999977454681842E-3"/>
    <m/>
  </r>
  <r>
    <s v="2026/05/31"/>
    <s v="Mayo"/>
    <s v="Kia "/>
    <x v="6"/>
    <s v="CLAUDIA PATRICIA MAFLA CRUZ"/>
    <n v="950"/>
    <s v="PAGINA WEB ARMOTOR"/>
    <n v="27062146"/>
    <s v="VKP 91746"/>
    <s v="2026-05-25"/>
    <s v="1970-01-01"/>
    <s v="2026-05-28"/>
    <s v="LOPEZ TARAZONA SANTIAGO"/>
    <n v="8"/>
    <s v="2027BL1A60__24G1600"/>
    <s v="K3 ZENITH"/>
    <s v="3KPFC41ABVE196981"/>
    <n v="73811024"/>
    <n v="1984000"/>
    <n v="66768767"/>
    <n v="93740000"/>
    <s v="10%"/>
    <n v="84246763"/>
    <n v="627394"/>
    <m/>
    <n v="8.5000040102410721E-3"/>
    <m/>
  </r>
  <r>
    <s v="2026/05/31"/>
    <s v="Mayo"/>
    <s v="Kia "/>
    <x v="6"/>
    <s v="CLAUDIA PATRICIA MAFLA CRUZ"/>
    <n v="950"/>
    <s v="CONVENIOS EMPRESARIALES"/>
    <n v="27087781"/>
    <s v="VKP 91778"/>
    <s v="2026-05-28"/>
    <s v="1970-01-01"/>
    <s v="2026-05-30"/>
    <s v="BOTERO JIMENEZ SANDRA MILENA"/>
    <n v="8"/>
    <s v="2027BL1A60__24G1600"/>
    <s v="K3 ZENITH"/>
    <s v="3KPFC41ABVE197583"/>
    <n v="71596693"/>
    <n v="2114000"/>
    <n v="66768767"/>
    <n v="90927800"/>
    <s v="7%"/>
    <n v="0"/>
    <n v="608572"/>
    <n v="608572"/>
    <n v="8.5000015294002477E-3"/>
    <m/>
  </r>
  <r>
    <s v="2026/05/31"/>
    <s v="Mayo"/>
    <s v="Kia "/>
    <x v="6"/>
    <s v="CLAUDIA PATRICIA MAFLA CRUZ"/>
    <n v="950"/>
    <s v="VITRINA"/>
    <n v="27067650"/>
    <s v="VKP 91693"/>
    <s v="2026-05-20"/>
    <s v="1970-01-01"/>
    <s v="2026-05-25"/>
    <s v="OCAMPO GIRALDO DANIEL"/>
    <n v="8"/>
    <s v="2027BL1A60__25G1601"/>
    <s v="K3 CROSS ZENITH"/>
    <s v="3KPFF51ABVE180067"/>
    <n v="73228346"/>
    <n v="1951000"/>
    <n v="69655906"/>
    <n v="92999999"/>
    <s v="5%"/>
    <n v="0"/>
    <n v="622441"/>
    <n v="622441"/>
    <n v="8.5000008056989301E-3"/>
    <m/>
  </r>
  <r>
    <s v="2026/05/31"/>
    <s v="Mayo"/>
    <s v="Kia "/>
    <x v="6"/>
    <s v="CLAUDIA PATRICIA MAFLA CRUZ"/>
    <n v="950"/>
    <s v="PAGINA WEB ARMOTOR"/>
    <n v="27064020"/>
    <s v="VKP 91697"/>
    <s v="2026-05-21"/>
    <s v="1970-01-01"/>
    <s v="2026-05-28"/>
    <s v="PLATA TAMAYO DANIELA"/>
    <n v="8"/>
    <s v="2027JA3M20__25G1002"/>
    <s v="PICANTO VIBRANT"/>
    <s v="KNAB2511AVT514419"/>
    <n v="45661417"/>
    <n v="695700"/>
    <n v="41856299"/>
    <n v="57990000"/>
    <s v="8%"/>
    <n v="0"/>
    <n v="388122"/>
    <n v="388122"/>
    <n v="8.4999990254354136E-3"/>
    <m/>
  </r>
  <r>
    <s v="2026/05/31"/>
    <s v="Mayo"/>
    <s v="Kia "/>
    <x v="6"/>
    <s v="CLAUDIA PATRICIA MAFLA CRUZ"/>
    <n v="950"/>
    <s v="VITRINA"/>
    <n v="26991895"/>
    <s v="VKP 91696"/>
    <s v="2026-05-21"/>
    <s v="1970-01-01"/>
    <s v="2026-05-28"/>
    <s v="CENTRO DE FORMACION Y CAPACITACION - CFC S.A.S"/>
    <n v="8"/>
    <s v="2027JA3M20__25G1002"/>
    <s v="PICANTO VIBRANT"/>
    <s v="KNAB2511AVT514844"/>
    <n v="45661417"/>
    <n v="695700"/>
    <n v="41856299"/>
    <n v="57990000"/>
    <s v="8%"/>
    <n v="0"/>
    <n v="388122"/>
    <n v="388122"/>
    <n v="8.4999990254354136E-3"/>
    <m/>
  </r>
  <r>
    <s v="2026/05/31"/>
    <s v="Mayo"/>
    <s v="Kia "/>
    <x v="6"/>
    <s v="CLAUDIA PATRICIA MAFLA CRUZ"/>
    <n v="950"/>
    <s v="VITRINA"/>
    <n v="27062446"/>
    <s v="VKP 91698"/>
    <s v="2026-05-21"/>
    <s v="1970-01-01"/>
    <s v="2026-05-28"/>
    <s v="ALVAREZ ZAPATA VANESSA"/>
    <n v="8"/>
    <s v="2027JA3M45__25G1202"/>
    <s v="PICANTO ZENITH MT"/>
    <s v="KNAB2512AVT513539"/>
    <n v="51763780"/>
    <n v="695700"/>
    <n v="46908793"/>
    <n v="65740001"/>
    <s v="9%"/>
    <n v="0"/>
    <n v="439992"/>
    <n v="439992"/>
    <n v="8.4999974885914438E-3"/>
    <m/>
  </r>
  <r>
    <s v="2026/05/31"/>
    <s v="Mayo"/>
    <s v="Kia "/>
    <x v="6"/>
    <s v="CLAUDIA PATRICIA MAFLA CRUZ"/>
    <n v="950"/>
    <s v="PAGINA WEB ARMOTOR"/>
    <n v="27077366"/>
    <s v="VKP 91757"/>
    <s v="2026-05-26"/>
    <s v="1970-01-01"/>
    <s v="2026-05-28"/>
    <s v="COLORADO CORREA WILSON EDUARDO"/>
    <n v="8"/>
    <s v="2027NQ2A40__25H1600"/>
    <s v="SPORTAGE VIBRANT"/>
    <s v="KNAPU81GBV7361592"/>
    <n v="136495575"/>
    <n v="3111300"/>
    <n v="127425664"/>
    <n v="154240000"/>
    <s v="7%"/>
    <n v="85235000"/>
    <n v="1160212"/>
    <m/>
    <n v="8.4999971610801306E-3"/>
    <m/>
  </r>
  <r>
    <s v="2026/05/31"/>
    <s v="Mayo"/>
    <s v="Kia "/>
    <x v="6"/>
    <s v="DIANA PAOLA BRAVO MARIN"/>
    <n v="464"/>
    <s v="VITRINA"/>
    <n v="27071658"/>
    <s v="VKP 91780"/>
    <s v="2026-05-29"/>
    <s v="1970-01-01"/>
    <s v="2026-05-29"/>
    <s v="BEDOYA GAVIRIA JHONNY STIBENT"/>
    <n v="4"/>
    <s v="2027JA3M20__25G1002"/>
    <s v="PICANTO VIBRANT"/>
    <s v="KNAB2511AVT514100"/>
    <n v="45661417"/>
    <n v="695700"/>
    <n v="41856299"/>
    <n v="57990000"/>
    <s v="8%"/>
    <n v="57990000"/>
    <n v="182646"/>
    <m/>
    <n v="4.0000072709088291E-3"/>
    <m/>
  </r>
  <r>
    <s v="2026/05/31"/>
    <s v="Mayo"/>
    <s v="Kia "/>
    <x v="6"/>
    <s v="DIANA PAOLA BRAVO MARIN"/>
    <n v="464"/>
    <s v="EVENTOS"/>
    <n v="27050820"/>
    <s v="VKP 91685"/>
    <s v="2026-05-13"/>
    <s v="2026-05-27"/>
    <s v="2026-05-21"/>
    <s v="CORRALES GARCIA ANDRES FELIPE"/>
    <n v="4"/>
    <s v="2027YB2A40__25H1001"/>
    <s v="STONIC VIBRANT"/>
    <s v="KNAD6817GVT109607"/>
    <n v="87380531"/>
    <n v="1505600"/>
    <n v="85995047"/>
    <n v="98740000"/>
    <s v="2%"/>
    <n v="0"/>
    <n v="349522"/>
    <n v="349522"/>
    <n v="3.999998580919587E-3"/>
    <m/>
  </r>
  <r>
    <s v="2026/05/31"/>
    <s v="Mayo"/>
    <s v="Kia "/>
    <x v="6"/>
    <s v="DIANA PAOLA BRAVO MARIN"/>
    <n v="464"/>
    <s v="PAGINA WEB ARMOTOR"/>
    <n v="27048812"/>
    <s v="VKP 91682"/>
    <s v="2026-05-13"/>
    <s v="2026-05-22"/>
    <s v="2026-05-19"/>
    <s v="MONSALVE VALENCIA CLAUDIA XIMENA"/>
    <n v="4"/>
    <s v="2027NQ2A40__25H1600"/>
    <s v="SPORTAGE VIBRANT"/>
    <s v="KNAPU81GBV7366038"/>
    <n v="136495575"/>
    <n v="1588300"/>
    <n v="127425664"/>
    <n v="154240000"/>
    <s v="7%"/>
    <n v="0"/>
    <n v="545982"/>
    <n v="545982"/>
    <n v="3.9999978021265526E-3"/>
    <m/>
  </r>
  <r>
    <s v="2026/05/31"/>
    <s v="Mayo"/>
    <s v="Kia "/>
    <x v="6"/>
    <s v="DIANA PAOLA BRAVO MARIN"/>
    <n v="464"/>
    <s v="REFERIDO"/>
    <n v="27084617"/>
    <s v="VKP 91773"/>
    <s v="2026-05-28"/>
    <s v="1970-01-01"/>
    <s v="2026-05-29"/>
    <s v="BEDOYA NIETO DIEGO ALEJANDRO"/>
    <n v="4"/>
    <s v="2027NQ2A65__25H1601"/>
    <s v="SPORTAGE ZENITH"/>
    <s v="KNAPV81GBV7370290"/>
    <n v="154496814"/>
    <n v="849600"/>
    <n v="141761947"/>
    <n v="174581400"/>
    <s v="8%"/>
    <n v="107851000"/>
    <n v="617987"/>
    <m/>
    <n v="3.9999983430079019E-3"/>
    <m/>
  </r>
  <r>
    <s v="2026/05/31"/>
    <s v="Mayo"/>
    <s v="Kia "/>
    <x v="6"/>
    <s v="GERMAN LLANO BOTERO"/>
    <n v="297"/>
    <s v="Compraventero"/>
    <n v="27008485"/>
    <s v="VKP 91616"/>
    <s v="2026-04-20"/>
    <s v="2026-04-29"/>
    <s v="2026-05-04"/>
    <s v="GIRALDO CASTRO JAIRO"/>
    <n v="4"/>
    <s v="2027AB1M23T_24G1404"/>
    <s v="SEPHIA"/>
    <s v="LJD0AA29AV0387763"/>
    <n v="69411765"/>
    <n v="2084000"/>
    <n v="62752543"/>
    <n v="82600000"/>
    <s v="10%"/>
    <n v="0"/>
    <n v="347059"/>
    <n v="347059"/>
    <n v="5.0000025211864299E-3"/>
    <m/>
  </r>
  <r>
    <s v="2026/05/31"/>
    <s v="Mayo"/>
    <s v="Kia "/>
    <x v="6"/>
    <s v="JOHAN ANDRES QUINTERO MESA"/>
    <n v="272"/>
    <s v="AGENCIA PUBLICIDAD"/>
    <n v="27030498"/>
    <s v="VKP 91660"/>
    <s v="2026-04-29"/>
    <s v="2026-05-22"/>
    <s v="2026-05-05"/>
    <s v="HERNANDEZ ZAPATA LUZ BIBIANA"/>
    <n v="14"/>
    <s v="2027BL1A60__24G1600"/>
    <s v="K3 ZENITH"/>
    <s v="3KPFC41ABVE181165"/>
    <n v="71614488"/>
    <n v="1431000"/>
    <n v="68212336"/>
    <n v="90950400"/>
    <s v="5%"/>
    <n v="0"/>
    <n v="608723"/>
    <n v="608723"/>
    <n v="8.4999979333790672E-3"/>
    <m/>
  </r>
  <r>
    <s v="2026/05/31"/>
    <s v="Mayo"/>
    <s v="Kia "/>
    <x v="6"/>
    <s v="JOHAN ANDRES QUINTERO MESA"/>
    <n v="272"/>
    <s v="REFERIDO"/>
    <n v="27055029"/>
    <s v="VKP 91681"/>
    <s v="2026-05-12"/>
    <s v="2026-05-30"/>
    <s v="2026-05-25"/>
    <s v="CARDONA RAMIREZ MARGARITA"/>
    <n v="14"/>
    <s v="2027BL1A70__25G1601"/>
    <s v="K3 CROSS GT LINE"/>
    <s v="3KPFD51ABVE180337"/>
    <n v="82366299"/>
    <n v="1431000"/>
    <n v="77595538"/>
    <n v="104605200"/>
    <s v="6%"/>
    <n v="0"/>
    <n v="700114"/>
    <n v="700114"/>
    <n v="8.5000055665970867E-3"/>
    <m/>
  </r>
  <r>
    <s v="2026/05/31"/>
    <s v="Mayo"/>
    <s v="Kia "/>
    <x v="6"/>
    <s v="JOHAN ANDRES QUINTERO MESA"/>
    <n v="272"/>
    <s v="VITRINA"/>
    <n v="27054451"/>
    <s v="VKP 91744"/>
    <s v="2026-05-25"/>
    <s v="1970-01-01"/>
    <s v="2026-05-28"/>
    <s v="CATAÑO OSPINA CINDY CAROLINA"/>
    <n v="14"/>
    <s v="2027BL1A70__25G1601"/>
    <s v="K3 CROSS GT LINE"/>
    <s v="3KPFD51ABVE195737"/>
    <n v="82366299"/>
    <n v="1464000"/>
    <n v="76151969"/>
    <n v="104605200"/>
    <s v="8%"/>
    <n v="0"/>
    <n v="700114"/>
    <n v="700114"/>
    <n v="8.5000055665970867E-3"/>
    <m/>
  </r>
  <r>
    <s v="2026/05/31"/>
    <s v="Mayo"/>
    <s v="Kia "/>
    <x v="6"/>
    <s v="JOHAN ANDRES QUINTERO MESA"/>
    <n v="272"/>
    <s v="VITRINA"/>
    <n v="27062580"/>
    <s v="VKP 91717"/>
    <s v="2026-05-21"/>
    <s v="1970-01-01"/>
    <s v="2026-05-26"/>
    <s v="RUA TRUJILLO TATIANA"/>
    <n v="14"/>
    <s v="2027BL1A70__24G1601"/>
    <s v="K3 GT LINE"/>
    <s v="3KPFE41ABVE180921"/>
    <n v="83259843"/>
    <n v="1431000"/>
    <n v="76873753"/>
    <n v="105740001"/>
    <s v="8%"/>
    <n v="0"/>
    <n v="707709"/>
    <n v="707709"/>
    <n v="8.5000040175430072E-3"/>
    <m/>
  </r>
  <r>
    <s v="2026/05/31"/>
    <s v="Mayo"/>
    <s v="Kia "/>
    <x v="6"/>
    <s v="JOHAN ANDRES QUINTERO MESA"/>
    <n v="272"/>
    <s v="AGENCIA PUBLICIDAD"/>
    <n v="27066842"/>
    <s v="VKP 91692"/>
    <s v="2026-05-20"/>
    <s v="1970-01-01"/>
    <s v="2026-05-28"/>
    <s v="MORENO CASTIBLANCO REBEKA DEL MILAGRO"/>
    <n v="14"/>
    <s v="2027BL1A40__25G1600"/>
    <s v="K3 CROSS VIBRANT"/>
    <s v="3KPFF51ABVE181211"/>
    <n v="68127165"/>
    <n v="1431000"/>
    <n v="64603412"/>
    <n v="86521500"/>
    <s v="5%"/>
    <n v="0"/>
    <n v="579081"/>
    <n v="579081"/>
    <n v="8.5000014311471788E-3"/>
    <m/>
  </r>
  <r>
    <s v="2026/05/31"/>
    <s v="Mayo"/>
    <s v="Kia "/>
    <x v="6"/>
    <s v="JOHAN ANDRES QUINTERO MESA"/>
    <n v="272"/>
    <s v="VITRINA"/>
    <n v="27074207"/>
    <s v="VKP 91740"/>
    <s v="2026-05-25"/>
    <s v="1970-01-01"/>
    <s v="2026-05-29"/>
    <s v="MORALES MORALES DIDIER ALBERTO"/>
    <n v="14"/>
    <s v="2027JA3M20__25G1002"/>
    <s v="PICANTO VIBRANT"/>
    <s v="KNAB2511AVT514139"/>
    <n v="45661417"/>
    <n v="695700"/>
    <n v="41856299"/>
    <n v="57990000"/>
    <s v="8%"/>
    <n v="57990000"/>
    <n v="388122"/>
    <m/>
    <n v="8.4999990254354136E-3"/>
    <m/>
  </r>
  <r>
    <s v="2026/05/31"/>
    <s v="Mayo"/>
    <s v="Kia "/>
    <x v="6"/>
    <s v="JOHAN ANDRES QUINTERO MESA"/>
    <n v="272"/>
    <s v="MARCA"/>
    <n v="23151357"/>
    <s v="VKP 91733"/>
    <s v="2026-05-25"/>
    <s v="1970-01-01"/>
    <s v="2026-05-28"/>
    <s v="TORO MARULANDA LLAJAIRA ANDREA"/>
    <n v="14"/>
    <s v="2027JA3M20__25G1002"/>
    <s v="PICANTO VIBRANT"/>
    <s v="KNAB2511AVT514515"/>
    <n v="45661417"/>
    <n v="695700"/>
    <n v="41856299"/>
    <n v="57990000"/>
    <s v="8%"/>
    <n v="0"/>
    <n v="388122"/>
    <n v="388122"/>
    <n v="8.4999990254354136E-3"/>
    <m/>
  </r>
  <r>
    <s v="2026/05/31"/>
    <s v="Mayo"/>
    <s v="Kia "/>
    <x v="6"/>
    <s v="JOHAN ANDRES QUINTERO MESA"/>
    <n v="272"/>
    <s v="AGENCIA PUBLICIDAD"/>
    <n v="27015092"/>
    <s v="VKP 91731"/>
    <s v="2026-05-23"/>
    <s v="1970-01-01"/>
    <s v="2026-05-28"/>
    <s v="ARENAS BONILLA JUAN STEVEN"/>
    <n v="14"/>
    <s v="2027JA3M20__25G1002"/>
    <s v="PICANTO VIBRANT"/>
    <s v="KNAB2511AVT514566"/>
    <n v="45661417"/>
    <n v="695700"/>
    <n v="41856299"/>
    <n v="57990000"/>
    <s v="8%"/>
    <n v="0"/>
    <n v="388122"/>
    <n v="388122"/>
    <n v="8.4999990254354136E-3"/>
    <m/>
  </r>
  <r>
    <s v="2026/05/31"/>
    <s v="Mayo"/>
    <s v="Kia "/>
    <x v="6"/>
    <s v="JOHAN ANDRES QUINTERO MESA"/>
    <n v="272"/>
    <s v="VITRINA"/>
    <n v="27034525"/>
    <s v="VKP 91707"/>
    <s v="2026-05-21"/>
    <s v="1970-01-01"/>
    <s v="2026-05-28"/>
    <s v="ESTRADA ESQUIVEL LUCERO"/>
    <n v="14"/>
    <s v="2027JA3M45__25G1202"/>
    <s v="PICANTO ZENITH MT"/>
    <s v="KNAB2512AVT513538"/>
    <n v="51763780"/>
    <n v="695700"/>
    <n v="46908793"/>
    <n v="65740001"/>
    <s v="9%"/>
    <n v="0"/>
    <n v="439992"/>
    <n v="439992"/>
    <n v="8.4999974885914438E-3"/>
    <m/>
  </r>
  <r>
    <s v="2026/05/31"/>
    <s v="Mayo"/>
    <s v="Kia "/>
    <x v="6"/>
    <s v="JOHAN ANDRES QUINTERO MESA"/>
    <n v="272"/>
    <s v="REFERIDO"/>
    <n v="26997800"/>
    <s v="VKP 91706"/>
    <s v="2026-05-21"/>
    <s v="1970-01-01"/>
    <s v="2026-05-28"/>
    <s v="ARAGON AVILA CLAUDIA MARCELA"/>
    <n v="14"/>
    <s v="2027JA3M45__25G1202"/>
    <s v="PICANTO ZENITH MT"/>
    <s v="KNAB2512AVT513956"/>
    <n v="51763780"/>
    <n v="695700"/>
    <n v="46908793"/>
    <n v="65740001"/>
    <s v="9%"/>
    <n v="0"/>
    <n v="439992"/>
    <n v="439992"/>
    <n v="8.4999974885914438E-3"/>
    <m/>
  </r>
  <r>
    <s v="2026/05/31"/>
    <s v="Mayo"/>
    <s v="Kia "/>
    <x v="6"/>
    <s v="JOHAN ANDRES QUINTERO MESA"/>
    <n v="272"/>
    <s v="VITRINA"/>
    <n v="27045388"/>
    <s v="VKP 91719"/>
    <s v="2026-05-21"/>
    <s v="1970-01-01"/>
    <s v="2026-05-28"/>
    <s v="CASTRO RODRIGUEZ JENNIFER"/>
    <n v="14"/>
    <s v="2027JA3M45__25G1202"/>
    <s v="PICANTO ZENITH MT"/>
    <s v="KNAB2512AVT513957"/>
    <n v="51763780"/>
    <n v="695700"/>
    <n v="46908793"/>
    <n v="65740001"/>
    <s v="9%"/>
    <n v="56926348"/>
    <n v="439992"/>
    <m/>
    <n v="8.4999974885914438E-3"/>
    <m/>
  </r>
  <r>
    <s v="2026/05/31"/>
    <s v="Mayo"/>
    <s v="Kia "/>
    <x v="6"/>
    <s v="JOHAN ANDRES QUINTERO MESA"/>
    <n v="272"/>
    <s v="AGENCIA PUBLICIDAD"/>
    <n v="27064008"/>
    <s v="VKP 91695"/>
    <s v="2026-05-20"/>
    <s v="2026-05-29"/>
    <s v="2026-05-27"/>
    <s v="GOMEZ SALAZAR VALERIA"/>
    <n v="14"/>
    <s v="2027NQ2A40__25H1600"/>
    <s v="SPORTAGE VIBRANT"/>
    <s v="KNAPU81GBV7372352"/>
    <n v="132400708"/>
    <n v="798300"/>
    <n v="127425664"/>
    <n v="149612800"/>
    <s v="4%"/>
    <n v="0"/>
    <n v="1125406"/>
    <n v="1125406"/>
    <n v="8.4999998640490661E-3"/>
    <m/>
  </r>
  <r>
    <s v="2026/05/31"/>
    <s v="Mayo"/>
    <s v="Kia "/>
    <x v="6"/>
    <s v="JOHAN ANDRES QUINTERO MESA"/>
    <n v="272"/>
    <s v="REFERIDO"/>
    <n v="27074637"/>
    <s v="VKP 91732"/>
    <s v="2026-05-23"/>
    <s v="2026-05-29"/>
    <s v="2026-05-29"/>
    <s v="CARDENAS ZAPATA JHONNER ANDRES"/>
    <n v="14"/>
    <s v="2027NQ2A65__25H1601"/>
    <s v="SPORTAGE ZENITH"/>
    <s v="KNAPV81GBV7370412"/>
    <n v="152144071"/>
    <n v="1048300"/>
    <n v="141761947"/>
    <n v="171922800"/>
    <s v="7%"/>
    <n v="151978300"/>
    <n v="1293225"/>
    <m/>
    <n v="8.5000026060824945E-3"/>
    <m/>
  </r>
  <r>
    <s v="2026/05/31"/>
    <s v="Mayo"/>
    <s v="Kia "/>
    <x v="6"/>
    <s v="JOHAN ANDRES QUINTERO MESA"/>
    <n v="272"/>
    <s v="REFERIDO"/>
    <n v="27030545"/>
    <s v="VKP 91662"/>
    <s v="2026-04-29"/>
    <s v="2026-05-22"/>
    <s v="2026-05-11"/>
    <s v="LOPEZ MARIN RODRIGO"/>
    <n v="14"/>
    <s v="2026QY2A50__25G1500"/>
    <s v="SONET ZENITH"/>
    <s v="LJD3BA1DET0086332"/>
    <n v="86082795"/>
    <n v="1874000"/>
    <n v="81554462"/>
    <n v="109325150"/>
    <s v="5%"/>
    <n v="0"/>
    <n v="731704"/>
    <n v="731704"/>
    <n v="8.5000028170553708E-3"/>
    <m/>
  </r>
  <r>
    <s v="2026/05/31"/>
    <s v="Mayo"/>
    <s v="Kia "/>
    <x v="6"/>
    <s v="JUAN CAMILO ALZATE RENDON"/>
    <n v="1044"/>
    <s v="VITRINA"/>
    <n v="27071400"/>
    <s v="VKP 91724"/>
    <s v="2026-05-22"/>
    <s v="1970-01-01"/>
    <s v="2026-05-29"/>
    <s v="HINCAPIE VALENCIA JUAN CARLOS"/>
    <n v="5"/>
    <s v="2027JA3M45__25G1202"/>
    <s v="PICANTO ZENITH MT"/>
    <s v="KNAB2512AVT513632"/>
    <n v="51763780"/>
    <n v="695700"/>
    <n v="46908793"/>
    <n v="65740001"/>
    <s v="9%"/>
    <n v="27404498"/>
    <n v="258818.9"/>
    <m/>
    <n v="5.0000000000000001E-3"/>
    <m/>
  </r>
  <r>
    <s v="2026/05/31"/>
    <s v="Mayo"/>
    <s v="Kia "/>
    <x v="6"/>
    <s v="JUAN CAMILO ALZATE RENDON"/>
    <n v="1044"/>
    <s v="VITRINA"/>
    <n v="27037746"/>
    <s v="VKP 91667"/>
    <s v="2026-05-05"/>
    <s v="2026-06-28"/>
    <s v="2026-05-27"/>
    <s v="TABARES GUTIERREZ ELINPSON"/>
    <n v="5"/>
    <s v="2027SG1A62__25H1600"/>
    <s v="NIRO ZENITH"/>
    <s v="KNACR81EGV5362868"/>
    <n v="127245664"/>
    <n v="712800"/>
    <n v="117868142"/>
    <n v="143787600"/>
    <s v="7%"/>
    <n v="0"/>
    <n v="636228.32000000007"/>
    <n v="636228.32000000007"/>
    <n v="5.0000000000000001E-3"/>
    <m/>
  </r>
  <r>
    <s v="2026/05/31"/>
    <s v="Mayo"/>
    <s v="Kia "/>
    <x v="6"/>
    <s v="JUAN CAMILO ALZATE RENDON"/>
    <n v="1044"/>
    <s v="VITRINA"/>
    <n v="27042975"/>
    <s v="VKP 91683"/>
    <s v="2026-05-13"/>
    <s v="1970-01-01"/>
    <s v="2026-05-22"/>
    <s v="GONZALEZ RAMIREZ JULIO CESAR"/>
    <n v="5"/>
    <s v="2027YB2M30__25H1001"/>
    <s v="STONIC DESIRE MT"/>
    <s v="KNADA817AVT104349"/>
    <n v="76982301"/>
    <n v="735600"/>
    <n v="73938540"/>
    <n v="86990000"/>
    <s v="4%"/>
    <n v="0"/>
    <n v="384911.505"/>
    <n v="384911.505"/>
    <n v="5.0000000000000001E-3"/>
    <m/>
  </r>
  <r>
    <s v="2026/05/31"/>
    <s v="Mayo"/>
    <s v="Kia "/>
    <x v="6"/>
    <s v="JUAN CAMILO ALZATE RENDON"/>
    <n v="1044"/>
    <s v="VITRINA"/>
    <n v="27074737"/>
    <s v="VKP 91751"/>
    <s v="2026-05-25"/>
    <s v="1970-01-01"/>
    <s v="2026-05-29"/>
    <s v="HINCAPIE ALBARRACIN ALEJANDRA MARIA"/>
    <n v="5"/>
    <s v="2027NQ2A40__25H1600"/>
    <s v="SPORTAGE VIBRANT"/>
    <s v="KNAPU81GBV7372351"/>
    <n v="136495575"/>
    <n v="3111900"/>
    <n v="127425664"/>
    <n v="154240000"/>
    <s v="7%"/>
    <n v="91282200"/>
    <n v="682477.875"/>
    <m/>
    <n v="5.0000000000000001E-3"/>
    <m/>
  </r>
  <r>
    <s v="2026/05/31"/>
    <s v="Mayo"/>
    <s v="Kia "/>
    <x v="6"/>
    <s v="JUAN CAMILO ALZATE RENDON"/>
    <n v="1044"/>
    <s v="VITRINA"/>
    <n v="27045357"/>
    <s v="VKP 91674"/>
    <s v="2026-05-11"/>
    <s v="2026-05-27"/>
    <s v="2026-05-20"/>
    <s v="RESTREPO DIANA JOHANA"/>
    <n v="5"/>
    <s v="2027NQ2A65__25H1601"/>
    <s v="SPORTAGE ZENITH"/>
    <s v="KNAPV81GBV7368722"/>
    <n v="154496814"/>
    <n v="798300"/>
    <n v="141761947"/>
    <n v="174581400"/>
    <s v="8%"/>
    <n v="0"/>
    <n v="772484.07000000007"/>
    <n v="772484.07000000007"/>
    <n v="5.0000000000000001E-3"/>
    <m/>
  </r>
  <r>
    <s v="2026/05/31"/>
    <s v="Mayo"/>
    <s v="Kia "/>
    <x v="6"/>
    <s v="LINA MARCELA HURTADO NARVAEZ"/>
    <n v="1038"/>
    <s v="VITRINA"/>
    <n v="27047973"/>
    <s v="VKP 91742"/>
    <s v="2026-05-25"/>
    <s v="1970-01-01"/>
    <s v="2026-05-29"/>
    <s v="AGUILERA GARCIA WUILDREY KATHERINE"/>
    <n v="12"/>
    <s v="2027BL1M30__24G1600"/>
    <s v="K3 DESIRE"/>
    <s v="3KPFC41AAVE196847"/>
    <n v="61724567"/>
    <n v="1464000"/>
    <n v="57385564"/>
    <n v="78390200"/>
    <s v="7%"/>
    <n v="70556647"/>
    <n v="524659"/>
    <m/>
    <n v="8.5000029242813489E-3"/>
    <m/>
  </r>
  <r>
    <s v="2026/05/31"/>
    <s v="Mayo"/>
    <s v="Kia "/>
    <x v="6"/>
    <s v="LINA MARCELA HURTADO NARVAEZ"/>
    <n v="1038"/>
    <s v="AGENCIA PUBLICIDAD"/>
    <n v="27038187"/>
    <s v="VKP 91669"/>
    <s v="2026-05-06"/>
    <s v="2026-05-22"/>
    <s v="2026-05-11"/>
    <s v="ZAPATA DUQUE VIDAL ANTONIO"/>
    <n v="12"/>
    <s v="2026BL1A70__25G1601"/>
    <s v="K3 CROSS GT LINE"/>
    <s v="3KPFD51ABTE162626"/>
    <n v="79929449"/>
    <n v="1604000"/>
    <n v="76873753"/>
    <n v="101510400"/>
    <s v="4%"/>
    <n v="0"/>
    <n v="679400"/>
    <n v="339700"/>
    <n v="8.4999960402579525E-3"/>
    <m/>
  </r>
  <r>
    <s v="2026/05/31"/>
    <s v="Mayo"/>
    <s v="Kia "/>
    <x v="6"/>
    <s v="LINA MARCELA HURTADO NARVAEZ"/>
    <n v="1038"/>
    <s v="VITRINA"/>
    <n v="27042226"/>
    <s v="VKP 91670"/>
    <s v="2026-05-07"/>
    <s v="2026-05-21"/>
    <s v="2026-05-13"/>
    <s v="SALAZAR HOYOS YONI EDUARDO"/>
    <n v="12"/>
    <s v="2027BL1A70__25G1601"/>
    <s v="K3 CROSS GT LINE"/>
    <s v="3KPFD51ABVE180341"/>
    <n v="82366299"/>
    <n v="1431000"/>
    <n v="77595538"/>
    <n v="104605200"/>
    <s v="6%"/>
    <n v="0"/>
    <n v="700114"/>
    <n v="700114"/>
    <n v="8.5000055665970867E-3"/>
    <m/>
  </r>
  <r>
    <s v="2026/05/31"/>
    <s v="Mayo"/>
    <s v="Kia "/>
    <x v="6"/>
    <s v="LINA MARCELA HURTADO NARVAEZ"/>
    <n v="1038"/>
    <s v="VITRINA"/>
    <n v="27022457"/>
    <s v="VKP 91648"/>
    <s v="2026-04-28"/>
    <s v="2026-05-26"/>
    <s v="2026-05-19"/>
    <s v="SOLARTE BASANTE JOSÉ DANIEL"/>
    <n v="12"/>
    <s v="2027BL1A70__25G1601"/>
    <s v="K3 CROSS GT LINE"/>
    <s v="3KPFD51ABVE180622"/>
    <n v="83137953"/>
    <n v="1431000"/>
    <n v="77595538"/>
    <n v="105585200"/>
    <s v="7%"/>
    <n v="0"/>
    <n v="706673"/>
    <n v="706673"/>
    <n v="8.500004805266255E-3"/>
    <m/>
  </r>
  <r>
    <s v="2026/05/31"/>
    <s v="Mayo"/>
    <s v="Kia "/>
    <x v="6"/>
    <s v="LINA MARCELA HURTADO NARVAEZ"/>
    <n v="1038"/>
    <s v="FERIA AUTOMOTRIZ"/>
    <n v="27067648"/>
    <s v="VKP 91737"/>
    <s v="2026-05-25"/>
    <s v="1970-01-01"/>
    <s v="2026-05-28"/>
    <s v="LONDOÑO BALLESTEROS GLORIA NANCY"/>
    <n v="12"/>
    <s v="2027BL1A70__25G1601"/>
    <s v="K3 CROSS GT LINE"/>
    <s v="3KPFD51ABVE187333"/>
    <n v="82366299"/>
    <n v="1431000"/>
    <n v="76873753"/>
    <n v="104605200"/>
    <s v="7%"/>
    <n v="0"/>
    <n v="700114"/>
    <n v="700114"/>
    <n v="8.5000055665970867E-3"/>
    <m/>
  </r>
  <r>
    <s v="2026/05/31"/>
    <s v="Mayo"/>
    <s v="Kia "/>
    <x v="6"/>
    <s v="LINA MARCELA HURTADO NARVAEZ"/>
    <n v="1038"/>
    <s v="VITRINA"/>
    <n v="27079465"/>
    <s v="VKP 91775"/>
    <s v="2026-05-28"/>
    <s v="1970-01-01"/>
    <s v="2026-05-29"/>
    <s v="LOPEZ VILLA CARLOS DANIEL"/>
    <n v="12"/>
    <s v="2027BL1M40__25G1600"/>
    <s v="K3 CROSS VIBRANT MT"/>
    <s v="3KPFF51AAVE180886"/>
    <n v="62496220"/>
    <n v="1431000"/>
    <n v="59550918"/>
    <n v="79370199"/>
    <s v="5%"/>
    <n v="42727996"/>
    <n v="531218"/>
    <m/>
    <n v="8.5000020801258066E-3"/>
    <m/>
  </r>
  <r>
    <s v="2026/05/31"/>
    <s v="Mayo"/>
    <s v="Kia "/>
    <x v="6"/>
    <s v="LINA MARCELA HURTADO NARVAEZ"/>
    <n v="1038"/>
    <s v="VITRINA"/>
    <n v="27071681"/>
    <s v="VKP 91750"/>
    <s v="2026-05-25"/>
    <s v="1970-01-01"/>
    <s v="2026-05-28"/>
    <s v="ECHEVERRI POSADA LILIANA PATRICIA"/>
    <n v="12"/>
    <s v="2027BL1M40__25G1600"/>
    <s v="K3 CROSS VIBRANT MT"/>
    <s v="3KPFF51AAVE194233"/>
    <n v="61858504"/>
    <n v="1464000"/>
    <n v="58107349"/>
    <n v="78560300"/>
    <s v="6%"/>
    <n v="1380947"/>
    <n v="525797"/>
    <m/>
    <n v="8.4999954088770067E-3"/>
    <m/>
  </r>
  <r>
    <s v="2026/05/31"/>
    <s v="Mayo"/>
    <s v="Kia "/>
    <x v="6"/>
    <s v="LINA MARCELA HURTADO NARVAEZ"/>
    <n v="1038"/>
    <s v="VITRINA"/>
    <n v="27075475"/>
    <s v="VKP 91738"/>
    <s v="2026-05-25"/>
    <s v="1970-01-01"/>
    <s v="2026-05-28"/>
    <s v="OSPINA LOPEZ NELSON ENRIQUE"/>
    <n v="12"/>
    <s v="2027JA3M20__25G1002"/>
    <s v="PICANTO VIBRANT"/>
    <s v="KNAB2511AVT514183"/>
    <n v="45661417"/>
    <n v="695700"/>
    <n v="41856299"/>
    <n v="57990000"/>
    <s v="8%"/>
    <n v="0"/>
    <n v="388122"/>
    <n v="388122"/>
    <n v="8.4999990254354136E-3"/>
    <m/>
  </r>
  <r>
    <s v="2026/05/31"/>
    <s v="Mayo"/>
    <s v="Kia "/>
    <x v="6"/>
    <s v="LINA MARCELA HURTADO NARVAEZ"/>
    <n v="1038"/>
    <s v="VITRINA"/>
    <n v="27061363"/>
    <s v="VKP 91759"/>
    <s v="2026-05-26"/>
    <s v="1970-01-01"/>
    <s v="2026-05-29"/>
    <s v="ZULUAGA BOTINA JOHN SEBASTIAN"/>
    <n v="12"/>
    <s v="2027JA3M20__25G1002"/>
    <s v="PICANTO VIBRANT"/>
    <s v="KNAB2511AVT514504"/>
    <n v="45661417"/>
    <n v="695700"/>
    <n v="41856299"/>
    <n v="57990000"/>
    <s v="8%"/>
    <n v="57990000"/>
    <n v="388122"/>
    <m/>
    <n v="8.4999990254354136E-3"/>
    <m/>
  </r>
  <r>
    <s v="2026/05/31"/>
    <s v="Mayo"/>
    <s v="Kia "/>
    <x v="6"/>
    <s v="LINA MARCELA HURTADO NARVAEZ"/>
    <n v="1038"/>
    <s v="AGENCIA PUBLICIDAD"/>
    <n v="26977802"/>
    <s v="VKP 91713"/>
    <s v="2026-05-21"/>
    <s v="1970-01-01"/>
    <s v="2026-05-28"/>
    <s v="GONZALEZ BETANCOURTH WENDY DANIELA"/>
    <n v="12"/>
    <s v="2027JA3M20__25G1002"/>
    <s v="PICANTO VIBRANT"/>
    <s v="KNAB2511AVT514845"/>
    <n v="45661417"/>
    <n v="695700"/>
    <n v="41856299"/>
    <n v="57990000"/>
    <s v="8%"/>
    <n v="57990000"/>
    <n v="388122"/>
    <m/>
    <n v="8.4999990254354136E-3"/>
    <m/>
  </r>
  <r>
    <s v="2026/05/31"/>
    <s v="Mayo"/>
    <s v="Kia "/>
    <x v="6"/>
    <s v="LINA MARCELA HURTADO NARVAEZ"/>
    <n v="1038"/>
    <s v="FERIA AUTOMOTRIZ"/>
    <n v="27050482"/>
    <s v="VKP 91679"/>
    <s v="2026-05-12"/>
    <s v="1970-01-01"/>
    <s v="2026-05-29"/>
    <s v="RODRIGUEZ GIRALDO JUAN SEBASTIAN"/>
    <n v="12"/>
    <s v="2027QY2M35__25G1503"/>
    <s v="SONET VIBRANT MT"/>
    <s v="LJD3BA1DAV0092743"/>
    <n v="71420168"/>
    <n v="735600"/>
    <n v="64953412"/>
    <n v="84990000"/>
    <s v="9%"/>
    <n v="0"/>
    <n v="607071"/>
    <n v="607071"/>
    <n v="8.4999940072949705E-3"/>
    <m/>
  </r>
  <r>
    <s v="2026/05/31"/>
    <s v="Mayo"/>
    <s v="Kia "/>
    <x v="6"/>
    <s v="LINA MARCELA HURTADO NARVAEZ"/>
    <n v="1038"/>
    <s v="FERIA AUTOMOTRIZ"/>
    <n v="27025984"/>
    <s v="VKP 91743"/>
    <s v="2026-05-25"/>
    <s v="1970-01-01"/>
    <s v="2026-05-28"/>
    <s v="MERCHAN BEDOYA CAROLINA"/>
    <n v="12"/>
    <s v="2027QY2M35__25G1503"/>
    <s v="SONET VIBRANT MT"/>
    <s v="LJD3BA1DAV0093426"/>
    <n v="70149685"/>
    <n v="781200"/>
    <n v="64953412"/>
    <n v="89090100"/>
    <s v="7%"/>
    <n v="51652947"/>
    <n v="596272"/>
    <m/>
    <n v="8.4999954026878377E-3"/>
    <m/>
  </r>
  <r>
    <s v="2026/05/31"/>
    <s v="Mayo"/>
    <s v="Kia "/>
    <x v="6"/>
    <s v="LIZANYURI FERLA ORTIZ"/>
    <n v="903"/>
    <s v="MARCA"/>
    <n v="26974397"/>
    <s v="VKP 91577"/>
    <s v="2026-03-31"/>
    <s v="2026-05-26"/>
    <s v="2026-05-20"/>
    <s v="OROZCO TORO LEIDY DIANA"/>
    <n v="11"/>
    <s v="2027BL1M30__24G1600"/>
    <s v="K3 DESIRE"/>
    <s v="3KPFC41AAVE180665"/>
    <n v="63771654"/>
    <n v="1431000"/>
    <n v="58829134"/>
    <n v="80990001"/>
    <s v="8%"/>
    <n v="0"/>
    <n v="542059"/>
    <n v="542059"/>
    <n v="8.4999990748240595E-3"/>
    <m/>
  </r>
  <r>
    <s v="2026/05/31"/>
    <s v="Mayo"/>
    <s v="Kia "/>
    <x v="6"/>
    <s v="LIZANYURI FERLA ORTIZ"/>
    <n v="903"/>
    <s v="PLAYA DE VENTAS"/>
    <n v="27080525"/>
    <s v="VKP 91765"/>
    <s v="2026-05-27"/>
    <s v="1970-01-01"/>
    <s v="2026-05-29"/>
    <s v="OSPINA REYES ALBEIRO"/>
    <n v="11"/>
    <s v="2027BL1A70__25G1601"/>
    <s v="K3 CROSS GT LINE"/>
    <s v="3KPFD51ABVE196132"/>
    <n v="82366299"/>
    <n v="1464000"/>
    <n v="76151969"/>
    <n v="104605200"/>
    <s v="8%"/>
    <n v="74209607"/>
    <n v="700114"/>
    <m/>
    <n v="8.5000055665970867E-3"/>
    <m/>
  </r>
  <r>
    <s v="2026/05/31"/>
    <s v="Mayo"/>
    <s v="Kia "/>
    <x v="6"/>
    <s v="LIZANYURI FERLA ORTIZ"/>
    <n v="903"/>
    <s v="REFERIDO"/>
    <n v="27081870"/>
    <s v="VKP 91766"/>
    <s v="2026-05-27"/>
    <s v="1970-01-01"/>
    <s v="2026-05-29"/>
    <s v="ACEVEDO GONZALEZ HUGO ARMANDO"/>
    <n v="11"/>
    <s v="2027BL1A40__25G1600"/>
    <s v="K3 CROSS VIBRANT"/>
    <s v="3KPFF51ABVE166069"/>
    <n v="68476535"/>
    <n v="1774000"/>
    <n v="64603412"/>
    <n v="86965199"/>
    <s v="6%"/>
    <n v="0"/>
    <n v="582051"/>
    <n v="582051"/>
    <n v="8.5000066081030532E-3"/>
    <m/>
  </r>
  <r>
    <s v="2026/05/31"/>
    <s v="Mayo"/>
    <s v="Kia "/>
    <x v="6"/>
    <s v="LIZANYURI FERLA ORTIZ"/>
    <n v="903"/>
    <s v="VITRINA"/>
    <n v="27049127"/>
    <s v="VKP 91677"/>
    <s v="2026-05-11"/>
    <s v="2026-05-28"/>
    <s v="2026-05-21"/>
    <s v="URIBE RAMIREZ LUCIA VERONICA"/>
    <n v="11"/>
    <s v="2027BL1A60__25G1601"/>
    <s v="K3 CROSS ZENITH"/>
    <s v="3KPFF51ABVE176913"/>
    <n v="73878110"/>
    <n v="1431000"/>
    <n v="69655906"/>
    <n v="93825200"/>
    <s v="6%"/>
    <n v="0"/>
    <n v="627964"/>
    <n v="627964"/>
    <n v="8.5000008798275968E-3"/>
    <m/>
  </r>
  <r>
    <s v="2026/05/31"/>
    <s v="Mayo"/>
    <s v="Kia "/>
    <x v="6"/>
    <s v="LIZANYURI FERLA ORTIZ"/>
    <n v="903"/>
    <s v="PLAYA DE VENTAS"/>
    <n v="27058700"/>
    <s v="VKP 91691"/>
    <s v="2026-05-20"/>
    <s v="1970-01-01"/>
    <s v="2026-05-28"/>
    <s v="HERNANDEZ SANCHEZ DIDIMO"/>
    <n v="11"/>
    <s v="2027BL1A60__25G1601"/>
    <s v="K3 CROSS ZENITH"/>
    <s v="3KPFF51ABVE180065"/>
    <n v="73878110"/>
    <n v="1431000"/>
    <n v="69655906"/>
    <n v="93825200"/>
    <s v="6%"/>
    <n v="0"/>
    <n v="627964"/>
    <n v="627964"/>
    <n v="8.5000008798275968E-3"/>
    <m/>
  </r>
  <r>
    <s v="2026/05/31"/>
    <s v="Mayo"/>
    <s v="Kia "/>
    <x v="6"/>
    <s v="LIZANYURI FERLA ORTIZ"/>
    <n v="903"/>
    <s v="VITRINA"/>
    <n v="27064329"/>
    <s v="VKP 91745"/>
    <s v="2026-05-25"/>
    <s v="1970-01-01"/>
    <s v="2026-05-29"/>
    <s v="JARAMILLO ZULUAGA MARIA EUGENIA"/>
    <n v="11"/>
    <s v="2027BL1A40__25G1600"/>
    <s v="K3 CROSS VIBRANT"/>
    <s v="3KPFF51ABVE196230"/>
    <n v="68476535"/>
    <n v="1464000"/>
    <n v="63159842"/>
    <n v="86965199"/>
    <s v="8%"/>
    <n v="0"/>
    <n v="582051"/>
    <n v="582051"/>
    <n v="8.5000066081030532E-3"/>
    <m/>
  </r>
  <r>
    <s v="2026/05/31"/>
    <s v="Mayo"/>
    <s v="Kia "/>
    <x v="6"/>
    <s v="LIZANYURI FERLA ORTIZ"/>
    <n v="903"/>
    <s v="VITRINA"/>
    <n v="26979801"/>
    <s v="VKP 91735"/>
    <s v="2026-05-25"/>
    <s v="1970-01-01"/>
    <s v="2026-05-29"/>
    <s v="GONZALEZ COLMENAREZ JAVIER ALEXANDER"/>
    <n v="11"/>
    <s v="2027JA3M20__25G1002"/>
    <s v="PICANTO VIBRANT"/>
    <s v="KNAB2511AVT514518"/>
    <n v="45661417"/>
    <n v="695700"/>
    <n v="41856299"/>
    <n v="57990000"/>
    <s v="8%"/>
    <n v="0"/>
    <n v="388122"/>
    <n v="388122"/>
    <n v="8.4999990254354136E-3"/>
    <m/>
  </r>
  <r>
    <s v="2026/05/31"/>
    <s v="Mayo"/>
    <s v="Kia "/>
    <x v="6"/>
    <s v="LIZANYURI FERLA ORTIZ"/>
    <n v="903"/>
    <s v="VITRINA"/>
    <n v="27046560"/>
    <s v="VKP 91715"/>
    <s v="2026-05-21"/>
    <s v="1970-01-01"/>
    <s v="2026-05-29"/>
    <s v="SANCHEZ COLORADO OSCAR"/>
    <n v="11"/>
    <s v="2027JA3M20__25G1002"/>
    <s v="PICANTO VIBRANT"/>
    <s v="KNAB2511AVT514847"/>
    <n v="45661417"/>
    <n v="695700"/>
    <n v="41856299"/>
    <n v="57990000"/>
    <s v="8%"/>
    <n v="7990000"/>
    <n v="388122"/>
    <m/>
    <n v="8.4999990254354136E-3"/>
    <m/>
  </r>
  <r>
    <s v="2026/05/31"/>
    <s v="Mayo"/>
    <s v="Kia "/>
    <x v="6"/>
    <s v="LIZANYURI FERLA ORTIZ"/>
    <n v="903"/>
    <s v="VITRINA"/>
    <n v="27072257"/>
    <s v="VKP 91718"/>
    <s v="2026-05-21"/>
    <s v="1970-01-01"/>
    <s v="2026-05-29"/>
    <s v="RODRIGUEZ RAMIREZ GUILLERMO OCTAVIO"/>
    <n v="11"/>
    <s v="2027JA3M45__25G1202"/>
    <s v="PICANTO ZENITH MT"/>
    <s v="KNAB2512AVT513543"/>
    <n v="51763780"/>
    <n v="695700"/>
    <n v="46908793"/>
    <n v="65740001"/>
    <s v="9%"/>
    <n v="6849727"/>
    <n v="439992"/>
    <m/>
    <n v="8.4999974885914438E-3"/>
    <m/>
  </r>
  <r>
    <s v="2026/05/31"/>
    <s v="Mayo"/>
    <s v="Kia "/>
    <x v="6"/>
    <s v="LIZANYURI FERLA ORTIZ"/>
    <n v="903"/>
    <s v="VITRINA"/>
    <n v="27006162"/>
    <s v="VKP 91714"/>
    <s v="2026-05-21"/>
    <s v="1970-01-01"/>
    <s v="2026-05-29"/>
    <s v="VASQUEZ LONDOÑO JUAN MANUEL"/>
    <n v="11"/>
    <s v="2027JA3M45__25G1202"/>
    <s v="PICANTO ZENITH MT"/>
    <s v="KNAB2512AVT513974"/>
    <n v="51763780"/>
    <n v="695700"/>
    <n v="46908793"/>
    <n v="65740001"/>
    <s v="9%"/>
    <n v="6404498"/>
    <n v="439992"/>
    <m/>
    <n v="8.4999974885914438E-3"/>
    <m/>
  </r>
  <r>
    <s v="2026/05/31"/>
    <s v="Mayo"/>
    <s v="Kia "/>
    <x v="6"/>
    <s v="LIZANYURI FERLA ORTIZ"/>
    <n v="903"/>
    <s v="VITRINA"/>
    <n v="27069966"/>
    <s v="VKP 91725"/>
    <s v="2026-05-23"/>
    <s v="1970-01-01"/>
    <s v="2026-05-28"/>
    <s v="CARDONA CARDONA ANA MARIELA"/>
    <n v="11"/>
    <s v="2027YB2A40__25H1001"/>
    <s v="STONIC VIBRANT"/>
    <s v="KNAD6817GVT104658"/>
    <n v="86506726"/>
    <n v="781200"/>
    <n v="85995047"/>
    <n v="97752600"/>
    <s v="1%"/>
    <n v="0"/>
    <n v="735307"/>
    <n v="735307"/>
    <n v="8.4999980232750919E-3"/>
    <m/>
  </r>
  <r>
    <s v="2026/05/31"/>
    <s v="Mayo"/>
    <s v="Kia "/>
    <x v="6"/>
    <s v="MARIO ALEJANDRO GUACAS SILVESTRE"/>
    <n v="1097"/>
    <s v="TALLER"/>
    <n v="27080309"/>
    <s v="VKP 91754"/>
    <s v="2026-05-26"/>
    <s v="1970-01-01"/>
    <s v="2026-05-29"/>
    <s v="SERNA PELAEZ CRISTIAN CAMILO"/>
    <n v="1"/>
    <s v="2027NQ2A65__25H1601"/>
    <s v="SPORTAGE ZENITH"/>
    <s v="KNAPV81GBV7368718"/>
    <n v="155752212"/>
    <n v="1654654"/>
    <n v="141761947"/>
    <n v="176000000"/>
    <s v="9%"/>
    <n v="0"/>
    <n v="778761.06"/>
    <n v="389380.53"/>
    <n v="5.0000000000000001E-3"/>
    <m/>
  </r>
  <r>
    <s v="2026/05/31"/>
    <s v="Mayo"/>
    <s v="Kia "/>
    <x v="6"/>
    <s v="NANCY LORENA CARRERO MARTINEZ"/>
    <n v="279"/>
    <s v="VITRINA"/>
    <n v="27039510"/>
    <s v="VKP 91704"/>
    <s v="2026-05-21"/>
    <s v="1970-01-01"/>
    <s v="2026-05-28"/>
    <s v="MUÑOZ GALLEGO DIANA LORENA"/>
    <n v="8"/>
    <s v="2027JA3M45__25G1202"/>
    <s v="PICANTO ZENITH MT"/>
    <s v="KNAB2512AVT513542"/>
    <n v="51763780"/>
    <n v="695700"/>
    <n v="46908793"/>
    <n v="65740001"/>
    <s v="9%"/>
    <n v="9815051"/>
    <n v="439992"/>
    <m/>
    <n v="8.4999974885914438E-3"/>
    <m/>
  </r>
  <r>
    <s v="2026/05/31"/>
    <s v="Mayo"/>
    <s v="Kia "/>
    <x v="6"/>
    <s v="NANCY LORENA CARRERO MARTINEZ"/>
    <n v="279"/>
    <s v="FERIA AUTOMOTRIZ"/>
    <n v="27011327"/>
    <s v="VKP 91702"/>
    <s v="2026-05-21"/>
    <s v="1970-01-01"/>
    <s v="2026-05-28"/>
    <s v="AMARILES ZAMBRANO LESLIE"/>
    <n v="8"/>
    <s v="2027JA3M45__25G1202"/>
    <s v="PICANTO ZENITH MT"/>
    <s v="KNAB2512AVT513973"/>
    <n v="51763780"/>
    <n v="695700"/>
    <n v="46908793"/>
    <n v="65740001"/>
    <s v="9%"/>
    <n v="0"/>
    <n v="439992"/>
    <n v="439992"/>
    <n v="8.4999974885914438E-3"/>
    <m/>
  </r>
  <r>
    <s v="2026/05/31"/>
    <s v="Mayo"/>
    <s v="Kia "/>
    <x v="6"/>
    <s v="NANCY LORENA CARRERO MARTINEZ"/>
    <n v="279"/>
    <s v="PAGINA WEB ARMOTOR"/>
    <n v="27026197"/>
    <s v="VKP 91703"/>
    <s v="2026-05-21"/>
    <s v="1970-01-01"/>
    <s v="2026-05-28"/>
    <s v="MONSALVE RAMIREZ MARIA CAMILA"/>
    <n v="8"/>
    <s v="2027JA3M45__25G1202"/>
    <s v="PICANTO ZENITH MT"/>
    <s v="KNAB2512AVT514109"/>
    <n v="51763780"/>
    <n v="695700"/>
    <n v="46908793"/>
    <n v="65740001"/>
    <s v="9%"/>
    <n v="43548348"/>
    <n v="439992"/>
    <m/>
    <n v="8.4999974885914438E-3"/>
    <m/>
  </r>
  <r>
    <s v="2026/05/31"/>
    <s v="Mayo"/>
    <s v="Kia "/>
    <x v="6"/>
    <s v="NANCY LORENA CARRERO MARTINEZ"/>
    <n v="279"/>
    <s v="MARCA"/>
    <n v="27071134"/>
    <s v="VKP 91705"/>
    <s v="2026-05-21"/>
    <s v="1970-01-01"/>
    <s v="2026-05-28"/>
    <s v="LARA MURILLO SANDRA PATRICIA"/>
    <n v="8"/>
    <s v="2027JA3M45__25G1202"/>
    <s v="PICANTO ZENITH MT"/>
    <s v="KNAB2512AVT514111"/>
    <n v="51763780"/>
    <n v="695700"/>
    <n v="46908793"/>
    <n v="65740001"/>
    <s v="9%"/>
    <n v="0"/>
    <n v="439992"/>
    <n v="439992"/>
    <n v="8.4999974885914438E-3"/>
    <m/>
  </r>
  <r>
    <s v="2026/05/31"/>
    <s v="Mayo"/>
    <s v="Kia "/>
    <x v="6"/>
    <s v="NANCY LORENA CARRERO MARTINEZ"/>
    <n v="279"/>
    <s v="REFERIDO"/>
    <n v="27052243"/>
    <s v="VKP 91716"/>
    <s v="2026-05-21"/>
    <s v="1970-01-01"/>
    <s v="2026-05-29"/>
    <s v="CARDONA BERMUDEZ ELVIA CECILIA"/>
    <n v="8"/>
    <s v="2027NQ2A40__25H1600"/>
    <s v="SPORTAGE VIBRANT"/>
    <s v="KNAPU81GBV7387387"/>
    <n v="134448142"/>
    <n v="798300"/>
    <n v="121850442"/>
    <n v="151926400"/>
    <s v="9%"/>
    <n v="143628758"/>
    <n v="1142809"/>
    <m/>
    <n v="8.499998460372922E-3"/>
    <m/>
  </r>
  <r>
    <s v="2026/05/31"/>
    <s v="Mayo"/>
    <s v="Kia "/>
    <x v="6"/>
    <s v="NANCY LORENA CARRERO MARTINEZ"/>
    <n v="279"/>
    <s v="EVENTOS"/>
    <n v="27050890"/>
    <s v="VKP 91694"/>
    <s v="2026-05-20"/>
    <s v="2026-05-25"/>
    <s v="2026-05-22"/>
    <s v="VILLA TREJOS ANGELA MARIA"/>
    <n v="8"/>
    <s v="2027NQ2A65__25H1601"/>
    <s v="SPORTAGE ZENITH"/>
    <s v="KNAPV81GBV7368724"/>
    <n v="156849558"/>
    <n v="4343100"/>
    <n v="141761947"/>
    <n v="177240001"/>
    <s v="10%"/>
    <n v="0"/>
    <n v="1333221"/>
    <n v="1333221"/>
    <n v="8.4999984507447574E-3"/>
    <m/>
  </r>
  <r>
    <s v="2026/05/31"/>
    <s v="Mayo"/>
    <s v="Kia "/>
    <x v="6"/>
    <s v="NANCY LORENA CARRERO MARTINEZ"/>
    <n v="279"/>
    <s v="AGENCIA PUBLICIDAD"/>
    <n v="27029141"/>
    <s v="VKP 91659"/>
    <s v="2026-04-29"/>
    <s v="2026-05-13"/>
    <s v="2026-05-11"/>
    <s v="AYCP CONSULTORES INTEGRADOS SAS"/>
    <n v="8"/>
    <s v="2027NQ2A65__25H1601"/>
    <s v="SPORTAGE ZENITH"/>
    <s v="KNAPV81GBV7370097"/>
    <n v="158101947"/>
    <n v="3798300"/>
    <n v="141761947"/>
    <n v="178655200"/>
    <s v="10%"/>
    <n v="0"/>
    <n v="1343867"/>
    <n v="1343867"/>
    <n v="8.5000028494272746E-3"/>
    <m/>
  </r>
  <r>
    <s v="2026/05/31"/>
    <s v="Mayo"/>
    <s v="Kia "/>
    <x v="6"/>
    <s v="NANCY LORENA CARRERO MARTINEZ"/>
    <n v="279"/>
    <s v="CONVENIOS EMPRESARIALES"/>
    <n v="27064326"/>
    <s v="VKP 91776"/>
    <s v="2026-05-28"/>
    <s v="1970-01-01"/>
    <s v="2026-05-30"/>
    <s v="LOAIZA ARCILA JESUS OSCAR"/>
    <n v="8"/>
    <s v="2027AB1A22__24G1401"/>
    <s v="SOLUTO EMOTION"/>
    <s v="LJD0AA29BV0395410"/>
    <n v="61409567"/>
    <n v="695700"/>
    <n v="57735564"/>
    <n v="77990150"/>
    <s v="6%"/>
    <n v="0"/>
    <n v="521981"/>
    <n v="521981"/>
    <n v="8.4999947972276054E-3"/>
    <m/>
  </r>
  <r>
    <s v="2026/05/31"/>
    <s v="Mayo"/>
    <s v="Kia "/>
    <x v="6"/>
    <s v="SEBASTIAN GIRALDO CEBALLOS"/>
    <n v="1016"/>
    <s v="VITRINA"/>
    <n v="27081961"/>
    <s v="VKP 91768"/>
    <s v="2026-05-27"/>
    <s v="1970-01-01"/>
    <s v="2026-05-29"/>
    <s v="TREJOS VILLANEDA ARTURO"/>
    <n v="9"/>
    <s v="2027BL1A40__24G1600"/>
    <s v="K3 VIBRANT"/>
    <s v="3KPFC41ABVE188394"/>
    <n v="66323150"/>
    <n v="1431000"/>
    <n v="63159842"/>
    <n v="84230401"/>
    <s v="5%"/>
    <n v="0"/>
    <n v="563747"/>
    <n v="563747"/>
    <n v="8.5000033924806043E-3"/>
    <m/>
  </r>
  <r>
    <s v="2026/05/31"/>
    <s v="Mayo"/>
    <s v="Kia "/>
    <x v="6"/>
    <s v="SEBASTIAN GIRALDO CEBALLOS"/>
    <n v="1016"/>
    <s v="VITRINA"/>
    <n v="27088863"/>
    <s v="VKP 91779"/>
    <s v="2026-05-29"/>
    <s v="1970-01-01"/>
    <s v="2026-05-30"/>
    <s v="HENAO HENAO LAURA"/>
    <n v="9"/>
    <s v="2027BL1A70__25G1601"/>
    <s v="K3 CROSS GT LINE"/>
    <s v="3KPFD51ABVE175651"/>
    <n v="84047244"/>
    <n v="5207000"/>
    <n v="77595538"/>
    <n v="106740000"/>
    <s v="8%"/>
    <n v="0"/>
    <n v="714402"/>
    <n v="714402"/>
    <n v="8.5000050685778584E-3"/>
    <m/>
  </r>
  <r>
    <s v="2026/05/31"/>
    <s v="Mayo"/>
    <s v="Kia "/>
    <x v="6"/>
    <s v="SEBASTIAN GIRALDO CEBALLOS"/>
    <n v="1016"/>
    <s v="VITRINA"/>
    <n v="27078000"/>
    <s v="VKP 91747"/>
    <s v="2026-05-25"/>
    <s v="1970-01-01"/>
    <s v="2026-05-29"/>
    <s v="BETANCOURT ALZATE LUZ ADRIANA"/>
    <n v="9"/>
    <s v="2027BL1A70__25G1601"/>
    <s v="K3 CROSS GT LINE"/>
    <s v="3KPFD51ABVE196216"/>
    <n v="83562126"/>
    <n v="1854000"/>
    <n v="76151969"/>
    <n v="106123900"/>
    <s v="9%"/>
    <n v="0"/>
    <n v="710278"/>
    <n v="710278"/>
    <n v="8.4999991503327717E-3"/>
    <m/>
  </r>
  <r>
    <s v="2026/05/31"/>
    <s v="Mayo"/>
    <s v="Kia "/>
    <x v="6"/>
    <s v="SEBASTIAN GIRALDO CEBALLOS"/>
    <n v="1016"/>
    <s v="REFERIDO"/>
    <n v="27078283"/>
    <s v="VKP 91764"/>
    <s v="2026-05-27"/>
    <s v="1970-01-01"/>
    <s v="2026-05-29"/>
    <s v="GARCIA GONZALEZ MANUELA"/>
    <n v="9"/>
    <s v="2027BL1M40__25G1600"/>
    <s v="K3 CROSS VIBRANT MT"/>
    <s v="3KPFF51AAVE194263"/>
    <n v="62496220"/>
    <n v="1464000"/>
    <n v="58107349"/>
    <n v="79370199"/>
    <s v="7%"/>
    <n v="46608046"/>
    <n v="531218"/>
    <m/>
    <n v="8.5000020801258066E-3"/>
    <m/>
  </r>
  <r>
    <s v="2026/05/31"/>
    <s v="Mayo"/>
    <s v="Kia "/>
    <x v="6"/>
    <s v="SEBASTIAN GIRALDO CEBALLOS"/>
    <n v="1016"/>
    <s v="VITRINA"/>
    <n v="27076597"/>
    <s v="VKP 91734"/>
    <s v="2026-05-25"/>
    <s v="1970-01-01"/>
    <s v="2026-05-28"/>
    <s v="SOTO BEDOYA DANIELA"/>
    <n v="9"/>
    <s v="2027JA3M20__25G1002"/>
    <s v="PICANTO VIBRANT"/>
    <s v="KNAB2511AVT514567"/>
    <n v="45661417"/>
    <n v="695700"/>
    <n v="41856299"/>
    <n v="57990000"/>
    <s v="8%"/>
    <n v="22377800"/>
    <n v="388122"/>
    <m/>
    <n v="8.4999990254354136E-3"/>
    <m/>
  </r>
  <r>
    <s v="2026/05/31"/>
    <s v="Mayo"/>
    <s v="Kia "/>
    <x v="6"/>
    <s v="SEBASTIAN GIRALDO CEBALLOS"/>
    <n v="1016"/>
    <s v="VITRINA"/>
    <n v="27071643"/>
    <s v="VKP 91709"/>
    <s v="2026-05-21"/>
    <s v="1970-01-01"/>
    <s v="2026-05-28"/>
    <s v="JARAMILLO OSPINA MANUELA"/>
    <n v="9"/>
    <s v="2027JA3M20__25G1002"/>
    <s v="PICANTO VIBRANT"/>
    <s v="KNAB2511AVT514843"/>
    <n v="45661417"/>
    <n v="695700"/>
    <n v="41856299"/>
    <n v="57990000"/>
    <s v="8%"/>
    <n v="0"/>
    <n v="388122"/>
    <n v="388122"/>
    <n v="8.4999990254354136E-3"/>
    <m/>
  </r>
  <r>
    <s v="2026/05/31"/>
    <s v="Mayo"/>
    <s v="Kia "/>
    <x v="6"/>
    <s v="SEBASTIAN GIRALDO CEBALLOS"/>
    <n v="1016"/>
    <s v="VITRINA"/>
    <n v="27072168"/>
    <s v="VKP 91721"/>
    <s v="2026-05-21"/>
    <s v="1970-01-01"/>
    <s v="2026-05-28"/>
    <s v="RAMIREZ ALZATE VICTOR JULIAN"/>
    <n v="9"/>
    <s v="2027JA3M45__25G1202"/>
    <s v="PICANTO ZENITH MT"/>
    <s v="KNAB2512AVT513536"/>
    <n v="51763780"/>
    <n v="695700"/>
    <n v="46908793"/>
    <n v="65740001"/>
    <s v="9%"/>
    <n v="0"/>
    <n v="439992"/>
    <n v="439992"/>
    <n v="8.4999974885914438E-3"/>
    <m/>
  </r>
  <r>
    <s v="2026/05/31"/>
    <s v="Mayo"/>
    <s v="Kia "/>
    <x v="6"/>
    <s v="SEBASTIAN GIRALDO CEBALLOS"/>
    <n v="1016"/>
    <s v="EVENTOS"/>
    <n v="27069133"/>
    <s v="VKP 91710"/>
    <s v="2026-05-21"/>
    <s v="1970-01-01"/>
    <s v="2026-05-26"/>
    <s v="MARIN DIAZ LINA MARIA"/>
    <n v="9"/>
    <s v="2027NQ2A65__25H1601"/>
    <s v="SPORTAGE ZENITH"/>
    <s v="KNAPV81GBV7370239"/>
    <n v="154496814"/>
    <n v="798300"/>
    <n v="141761947"/>
    <n v="174581400"/>
    <s v="8%"/>
    <n v="147913000"/>
    <n v="1313223"/>
    <m/>
    <n v="8.5000005242826561E-3"/>
    <m/>
  </r>
  <r>
    <s v="2026/05/31"/>
    <s v="Mayo"/>
    <s v="Kia "/>
    <x v="6"/>
    <s v="SEBASTIAN GIRALDO CEBALLOS"/>
    <n v="1016"/>
    <s v="VITRINA"/>
    <n v="27054019"/>
    <s v="VKP 91687"/>
    <s v="2026-05-14"/>
    <s v="1970-01-01"/>
    <s v="2026-05-26"/>
    <s v="SALAZAR BENITEZ EDISABET"/>
    <n v="9"/>
    <s v="2027QY2M35__25G1503"/>
    <s v="SONET VIBRANT MT"/>
    <s v="LJD3BA1DAV0093417"/>
    <n v="70149685"/>
    <n v="735600"/>
    <n v="64953412"/>
    <n v="89090100"/>
    <s v="7%"/>
    <n v="0"/>
    <n v="596272"/>
    <n v="596272"/>
    <n v="8.4999954026878377E-3"/>
    <m/>
  </r>
  <r>
    <s v="2026/05/31"/>
    <s v="Mayo"/>
    <s v="Kia "/>
    <x v="6"/>
    <s v="SIMON JOSE LOAIZA QUINTERO"/>
    <n v="967"/>
    <s v="VITRINA"/>
    <n v="27053511"/>
    <s v="VKP 91680"/>
    <s v="2026-05-12"/>
    <s v="2026-05-23"/>
    <s v="2026-05-21"/>
    <s v="GOMEZ RAMIREZ ANDRES FELIPE"/>
    <n v="13"/>
    <s v="2027BL1A40__24G1600"/>
    <s v="K3 VIBRANT"/>
    <s v="3KPFC41ABVE188725"/>
    <n v="67874016"/>
    <n v="1431000"/>
    <n v="63159842"/>
    <n v="86200000"/>
    <s v="7%"/>
    <n v="0"/>
    <n v="576929"/>
    <n v="576929"/>
    <n v="8.4999979962877108E-3"/>
    <m/>
  </r>
  <r>
    <s v="2026/05/31"/>
    <s v="Mayo"/>
    <s v="Kia "/>
    <x v="6"/>
    <s v="SIMON JOSE LOAIZA QUINTERO"/>
    <n v="967"/>
    <s v="VITRINA"/>
    <n v="27040001"/>
    <s v="VKP 91671"/>
    <s v="2026-05-08"/>
    <s v="2026-05-21"/>
    <s v="2026-05-13"/>
    <s v="VIDAL SANCLEMENTE DELFINA"/>
    <n v="13"/>
    <s v="2027BL1A70__25G1601"/>
    <s v="K3 CROSS GT LINE"/>
    <s v="3KPFD51ABVE180606"/>
    <n v="84047244"/>
    <n v="2508000"/>
    <n v="77595538"/>
    <n v="106740000"/>
    <s v="8%"/>
    <n v="0"/>
    <n v="714402"/>
    <n v="714402"/>
    <n v="8.5000050685778584E-3"/>
    <m/>
  </r>
  <r>
    <s v="2026/05/31"/>
    <s v="Mayo"/>
    <s v="Kia "/>
    <x v="6"/>
    <s v="SIMON JOSE LOAIZA QUINTERO"/>
    <n v="967"/>
    <s v="REFERIDO"/>
    <n v="27060744"/>
    <s v="VKP 91690"/>
    <s v="2026-05-15"/>
    <s v="2026-05-29"/>
    <s v="2026-05-25"/>
    <s v="MUÑOZ LOPEZ YESICA MARIA"/>
    <n v="13"/>
    <s v="2027BL1A60__25G1601"/>
    <s v="K3 CROSS ZENITH"/>
    <s v="3KPFF51ABVE180068"/>
    <n v="76377953"/>
    <n v="1431000"/>
    <n v="69655906"/>
    <n v="97000000"/>
    <s v="9%"/>
    <n v="0"/>
    <n v="649213"/>
    <n v="649213"/>
    <n v="8.500005230566994E-3"/>
    <m/>
  </r>
  <r>
    <s v="2026/05/31"/>
    <s v="Mayo"/>
    <s v="Kia "/>
    <x v="6"/>
    <s v="SIMON JOSE LOAIZA QUINTERO"/>
    <n v="967"/>
    <s v="PAGINA WEB ARMOTOR"/>
    <n v="27040086"/>
    <s v="VKP 91668"/>
    <s v="2026-05-06"/>
    <s v="2026-05-22"/>
    <s v="2026-05-12"/>
    <s v="RANGEL BEDOYA GERSON STEVEN"/>
    <n v="13"/>
    <s v="2027BL1A60__25G1601"/>
    <s v="K3 CROSS ZENITH"/>
    <s v="3KPFF51ABVE181183"/>
    <n v="75385827"/>
    <n v="1431000"/>
    <n v="69655906"/>
    <n v="95740000"/>
    <s v="8%"/>
    <n v="0"/>
    <n v="640780"/>
    <n v="640780"/>
    <n v="8.5000062412262187E-3"/>
    <m/>
  </r>
  <r>
    <s v="2026/05/31"/>
    <s v="Mayo"/>
    <s v="Kia "/>
    <x v="6"/>
    <s v="SIMON JOSE LOAIZA QUINTERO"/>
    <n v="967"/>
    <s v="REFERIDO"/>
    <n v="27005994"/>
    <s v="VKP 91730"/>
    <s v="2026-05-25"/>
    <s v="1970-01-01"/>
    <s v="2026-05-28"/>
    <s v="DE LA CRUZ GONZALEZ WILBER SEGUNDO"/>
    <n v="13"/>
    <s v="2027JA3M20__25G1002"/>
    <s v="PICANTO VIBRANT"/>
    <s v="KNAB2511AVT514180"/>
    <n v="45661417"/>
    <n v="695700"/>
    <n v="41856299"/>
    <n v="57990000"/>
    <s v="8%"/>
    <n v="51878363"/>
    <n v="388122"/>
    <m/>
    <n v="8.4999990254354136E-3"/>
    <m/>
  </r>
  <r>
    <s v="2026/05/31"/>
    <s v="Mayo"/>
    <s v="Kia "/>
    <x v="6"/>
    <s v="SIMON JOSE LOAIZA QUINTERO"/>
    <n v="967"/>
    <s v="REFERIDO"/>
    <n v="27077940"/>
    <s v="VKP 91739"/>
    <s v="2026-05-25"/>
    <s v="1970-01-01"/>
    <s v="2026-05-29"/>
    <s v="PRADO JHON ALEXANDER"/>
    <n v="13"/>
    <s v="2027JA3M20__25G1002"/>
    <s v="PICANTO VIBRANT"/>
    <s v="KNAB2511AVT514517"/>
    <n v="45661417"/>
    <n v="695700"/>
    <n v="41856299"/>
    <n v="57990000"/>
    <s v="8%"/>
    <n v="57990000"/>
    <n v="388122"/>
    <m/>
    <n v="8.4999990254354136E-3"/>
    <m/>
  </r>
  <r>
    <s v="2026/05/31"/>
    <s v="Mayo"/>
    <s v="Kia "/>
    <x v="6"/>
    <s v="SIMON JOSE LOAIZA QUINTERO"/>
    <n v="967"/>
    <s v="REFERIDO"/>
    <n v="27003641"/>
    <s v="VKP 91748"/>
    <s v="2026-05-26"/>
    <s v="1970-01-01"/>
    <s v="2026-05-28"/>
    <s v="MOLINA AGUDELO JHONATAN"/>
    <n v="13"/>
    <s v="2027JA3M20__25G1002"/>
    <s v="PICANTO VIBRANT"/>
    <s v="KNAB2511AVT514565"/>
    <n v="45661417"/>
    <n v="695700"/>
    <n v="41856299"/>
    <n v="57990000"/>
    <s v="8%"/>
    <n v="37992347"/>
    <n v="388122"/>
    <m/>
    <n v="8.4999990254354136E-3"/>
    <m/>
  </r>
  <r>
    <s v="2026/05/31"/>
    <s v="Mayo"/>
    <s v="Kia "/>
    <x v="6"/>
    <s v="SIMON JOSE LOAIZA QUINTERO"/>
    <n v="967"/>
    <s v="AGENCIA PUBLICIDAD"/>
    <n v="27017482"/>
    <s v="VKP 91700"/>
    <s v="2026-05-21"/>
    <s v="1970-01-01"/>
    <s v="2026-05-28"/>
    <s v="SALINAS ARTEAGA ANDRES DAVID"/>
    <n v="13"/>
    <s v="2027JA3M20__25G1002"/>
    <s v="PICANTO VIBRANT"/>
    <s v="KNAB2511AVT514598"/>
    <n v="45661417"/>
    <n v="695700"/>
    <n v="41856299"/>
    <n v="57990000"/>
    <s v="8%"/>
    <n v="52191000"/>
    <n v="388122"/>
    <m/>
    <n v="8.4999990254354136E-3"/>
    <m/>
  </r>
  <r>
    <s v="2026/05/31"/>
    <s v="Mayo"/>
    <s v="Kia "/>
    <x v="6"/>
    <s v="SIMON JOSE LOAIZA QUINTERO"/>
    <n v="967"/>
    <s v="REFERIDO"/>
    <n v="27023594"/>
    <s v="VKP 91701"/>
    <s v="2026-05-21"/>
    <s v="1970-01-01"/>
    <s v="2026-05-28"/>
    <s v="SANCHEZ FLOREZ DIANA MILENA"/>
    <n v="13"/>
    <s v="2027JA3M45__25G1202"/>
    <s v="PICANTO ZENITH MT"/>
    <s v="KNAB2512AVT513537"/>
    <n v="51763780"/>
    <n v="695700"/>
    <n v="46908793"/>
    <n v="65740001"/>
    <s v="9%"/>
    <n v="0"/>
    <n v="439992"/>
    <n v="439992"/>
    <n v="8.4999974885914438E-3"/>
    <m/>
  </r>
  <r>
    <s v="2026/05/31"/>
    <s v="Mayo"/>
    <s v="Kia "/>
    <x v="6"/>
    <s v="SIMON JOSE LOAIZA QUINTERO"/>
    <n v="967"/>
    <s v="PAGINA WEB ARMOTOR"/>
    <n v="26997665"/>
    <s v="VKP 91699"/>
    <s v="2026-05-21"/>
    <s v="1970-01-01"/>
    <s v="2026-05-28"/>
    <s v="ECHAVARRIA VARGAS JAMES"/>
    <n v="13"/>
    <s v="2027JA3M45__25G1202"/>
    <s v="PICANTO ZENITH MT"/>
    <s v="KNAB2512AVT513955"/>
    <n v="51763780"/>
    <n v="695700"/>
    <n v="46908793"/>
    <n v="65740001"/>
    <s v="9%"/>
    <n v="58454364"/>
    <n v="439992"/>
    <m/>
    <n v="8.4999974885914438E-3"/>
    <m/>
  </r>
  <r>
    <s v="2026/05/31"/>
    <s v="Mayo"/>
    <s v="Kia "/>
    <x v="6"/>
    <s v="SIMON JOSE LOAIZA QUINTERO"/>
    <n v="967"/>
    <s v="CONVENIOS EMPRESARIALES"/>
    <n v="27049145"/>
    <s v="VKP 91689"/>
    <s v="2026-05-14"/>
    <s v="1970-01-01"/>
    <s v="2026-05-23"/>
    <s v="CASTILLO BELTRAN JULIAN ESTEBAN"/>
    <n v="13"/>
    <s v="2027YB2A40__25H1001"/>
    <s v="STONIC VIBRANT"/>
    <s v="KNAD6817GVT105008"/>
    <n v="84759115"/>
    <n v="712800"/>
    <n v="85995047"/>
    <n v="95777800"/>
    <s v="-1%"/>
    <n v="0"/>
    <n v="720452"/>
    <n v="720452"/>
    <n v="8.499994366387615E-3"/>
    <m/>
  </r>
  <r>
    <s v="2026/05/31"/>
    <s v="Mayo"/>
    <s v="Kia "/>
    <x v="6"/>
    <s v="SIMON JOSE LOAIZA QUINTERO"/>
    <n v="967"/>
    <s v="PLAYA DE VENTAS"/>
    <n v="27071498"/>
    <s v="VKP 91760"/>
    <s v="2026-05-26"/>
    <s v="1970-01-01"/>
    <s v="2026-05-29"/>
    <s v="MENDOZA VALENCIA SEBASTIAN FARID"/>
    <n v="13"/>
    <s v="2027NQ2A40__25H1600"/>
    <s v="SPORTAGE VIBRANT"/>
    <s v="KNAPU81GBV7361452"/>
    <n v="133765664"/>
    <n v="849600"/>
    <n v="127425664"/>
    <n v="151155200"/>
    <s v="5%"/>
    <n v="0"/>
    <n v="1137008"/>
    <n v="1137008"/>
    <n v="8.49999892349056E-3"/>
    <m/>
  </r>
  <r>
    <s v="2026/05/31"/>
    <s v="Mayo"/>
    <s v="Kia "/>
    <x v="6"/>
    <s v="SIMON JOSE LOAIZA QUINTERO"/>
    <n v="967"/>
    <s v="VITRINA"/>
    <n v="27029980"/>
    <s v="VKP 91661"/>
    <s v="2026-04-29"/>
    <s v="2026-05-15"/>
    <s v="2026-05-07"/>
    <s v="RIVERA RUIZ CYNTHIA"/>
    <n v="13"/>
    <s v="2027NQ2A65__25H1601"/>
    <s v="SPORTAGE ZENITH"/>
    <s v="KNAPV81GBV7370064"/>
    <n v="158619469"/>
    <n v="1686300"/>
    <n v="141761947"/>
    <n v="179240000"/>
    <s v="11%"/>
    <n v="0"/>
    <n v="1348265"/>
    <n v="1348265"/>
    <n v="8.4999969329111798E-3"/>
    <m/>
  </r>
  <r>
    <s v="2026/05/31"/>
    <s v="Mayo"/>
    <s v="Kia "/>
    <x v="6"/>
    <s v="SOL PATRICIA GUTIERREZ BOLIVAR"/>
    <n v="824"/>
    <s v="VITRINA"/>
    <n v="27076962"/>
    <s v="VKP 91752"/>
    <s v="2026-05-25"/>
    <s v="1970-01-01"/>
    <s v="2026-05-29"/>
    <s v="GAMBA DIAZ EVELYN"/>
    <n v="9"/>
    <s v="2027BL1A70__24G1601"/>
    <s v="K3 GT LINE"/>
    <s v="3KPFE41ABVE187402"/>
    <n v="81594646"/>
    <n v="1431000"/>
    <n v="76151969"/>
    <n v="103625200"/>
    <s v="7%"/>
    <n v="0"/>
    <n v="693554"/>
    <n v="693554"/>
    <n v="8.4999939824483093E-3"/>
    <m/>
  </r>
  <r>
    <s v="2026/05/31"/>
    <s v="Mayo"/>
    <s v="Kia "/>
    <x v="6"/>
    <s v="SOL PATRICIA GUTIERREZ BOLIVAR"/>
    <n v="824"/>
    <s v="VITRINA"/>
    <n v="27072259"/>
    <s v="VKP 91741"/>
    <s v="2026-05-25"/>
    <s v="1970-01-01"/>
    <s v="2026-05-28"/>
    <s v="VALENCIA PUPIALES JULIAN FERNANDO"/>
    <n v="9"/>
    <s v="2027BL1M40__25G1600"/>
    <s v="K3 CROSS VIBRANT MT"/>
    <s v="3KPFF51AAVE194189"/>
    <n v="62496220"/>
    <n v="1464000"/>
    <n v="58107349"/>
    <n v="79370199"/>
    <s v="7%"/>
    <n v="79370199"/>
    <n v="531218"/>
    <m/>
    <n v="8.5000020801258066E-3"/>
    <m/>
  </r>
  <r>
    <s v="2026/05/31"/>
    <s v="Mayo"/>
    <s v="Kia "/>
    <x v="6"/>
    <s v="SOL PATRICIA GUTIERREZ BOLIVAR"/>
    <n v="824"/>
    <s v="VITRINA"/>
    <n v="27078192"/>
    <s v="VKP 91763"/>
    <s v="2026-05-26"/>
    <s v="1970-01-01"/>
    <s v="2026-05-29"/>
    <s v="VARGAS GONZALEZ BRYAN"/>
    <n v="9"/>
    <s v="2027BL1A60__25G1601"/>
    <s v="K3 CROSS ZENITH"/>
    <s v="3KPFF51ABVE195351"/>
    <n v="73878110"/>
    <n v="1464000"/>
    <n v="68212336"/>
    <n v="93825200"/>
    <s v="8%"/>
    <n v="93825200"/>
    <n v="627964"/>
    <m/>
    <n v="8.5000008798275968E-3"/>
    <m/>
  </r>
  <r>
    <s v="2026/05/31"/>
    <s v="Mayo"/>
    <s v="Kia "/>
    <x v="6"/>
    <s v="SOL PATRICIA GUTIERREZ BOLIVAR"/>
    <n v="824"/>
    <s v="VITRINA"/>
    <n v="27071634"/>
    <s v="VKP 91726"/>
    <s v="2026-05-23"/>
    <s v="1970-01-01"/>
    <s v="2026-05-28"/>
    <s v="FR INVERSORA"/>
    <n v="9"/>
    <s v="2027JA3M20__25G1002"/>
    <s v="PICANTO VIBRANT"/>
    <s v="KNAB2511AVT514520"/>
    <n v="45661417"/>
    <n v="695700"/>
    <n v="41856299"/>
    <n v="57990000"/>
    <s v="8%"/>
    <n v="0"/>
    <n v="388122"/>
    <n v="388122"/>
    <n v="8.4999990254354136E-3"/>
    <m/>
  </r>
  <r>
    <s v="2026/05/31"/>
    <s v="Mayo"/>
    <s v="Kia "/>
    <x v="6"/>
    <s v="SOL PATRICIA GUTIERREZ BOLIVAR"/>
    <n v="824"/>
    <s v="VITRINA"/>
    <n v="26971190"/>
    <s v="VKP 91708"/>
    <s v="2026-05-21"/>
    <s v="1970-01-01"/>
    <s v="2026-05-28"/>
    <s v="HENAO CALVO WILSON"/>
    <n v="9"/>
    <s v="2027JA3M45__25G1202"/>
    <s v="PICANTO ZENITH MT"/>
    <s v="KNAB2512AVT514110"/>
    <n v="51763780"/>
    <n v="695700"/>
    <n v="46908793"/>
    <n v="65740001"/>
    <s v="9%"/>
    <n v="16493001"/>
    <n v="439992"/>
    <m/>
    <n v="8.4999974885914438E-3"/>
    <m/>
  </r>
  <r>
    <s v="2026/05/31"/>
    <s v="Mayo"/>
    <s v="Kia "/>
    <x v="6"/>
    <s v="SOL PATRICIA GUTIERREZ BOLIVAR"/>
    <n v="824"/>
    <s v="VITRINA"/>
    <n v="27047544"/>
    <s v="VKP 91676"/>
    <s v="2026-05-11"/>
    <s v="2026-05-27"/>
    <s v="2026-05-19"/>
    <s v="MEDINA VALENCIA ESTEFANIA"/>
    <n v="9"/>
    <s v="2027SG1A62__25H1600"/>
    <s v="NIRO ZENITH"/>
    <s v="KNACR81EGV5345824"/>
    <n v="125960354"/>
    <n v="714000"/>
    <n v="124239823"/>
    <n v="142335200"/>
    <s v="1%"/>
    <n v="0"/>
    <n v="1070663"/>
    <n v="1070663"/>
    <n v="8.4999999285489472E-3"/>
    <m/>
  </r>
  <r>
    <s v="2026/05/31"/>
    <s v="Mayo"/>
    <s v="Kia "/>
    <x v="6"/>
    <s v="SOL PATRICIA GUTIERREZ BOLIVAR"/>
    <n v="824"/>
    <s v="VITRINA"/>
    <n v="27077783"/>
    <s v="VKP 91762"/>
    <s v="2026-05-26"/>
    <s v="1970-01-01"/>
    <s v="2026-05-29"/>
    <s v="HERRERA CARDENAS ALBA INES"/>
    <n v="9"/>
    <s v="2027YB2A31__25H1001"/>
    <s v="STONIC DESIRE"/>
    <s v="KNADA817GVT104795"/>
    <n v="82070796"/>
    <n v="985600"/>
    <n v="79564910"/>
    <n v="92739999"/>
    <s v="3%"/>
    <n v="0"/>
    <n v="697602"/>
    <n v="697602"/>
    <n v="8.5000028511969111E-3"/>
    <m/>
  </r>
  <r>
    <s v="2026/05/31"/>
    <s v="Mayo"/>
    <s v="Kia "/>
    <x v="6"/>
    <s v="SOL PATRICIA GUTIERREZ BOLIVAR"/>
    <n v="824"/>
    <s v="AGENCIA PUBLICIDAD"/>
    <n v="27036161"/>
    <s v="VKP 91673"/>
    <s v="2026-05-11"/>
    <s v="2026-05-26"/>
    <s v="2026-05-21"/>
    <s v="HERNANDEZ GARCIA DANIEL ALBERTO"/>
    <n v="9"/>
    <s v="2027NQ2A40__25H1600"/>
    <s v="SPORTAGE VIBRANT"/>
    <s v="KNAPU81GBV7361432"/>
    <n v="136495575"/>
    <n v="1679600"/>
    <n v="127425664"/>
    <n v="154240000"/>
    <s v="7%"/>
    <n v="0"/>
    <n v="1160212"/>
    <n v="1160212"/>
    <n v="8.4999971610801306E-3"/>
    <m/>
  </r>
  <r>
    <s v="2026/05/31"/>
    <s v="Mayo"/>
    <s v="Kia "/>
    <x v="6"/>
    <s v="SOL PATRICIA GUTIERREZ BOLIVAR"/>
    <n v="824"/>
    <s v="MARCA"/>
    <n v="27049852"/>
    <s v="VKP 91684"/>
    <s v="2026-05-13"/>
    <s v="1970-01-01"/>
    <s v="2026-05-22"/>
    <s v="RAMIREZ SANMIGUEL NATALIA"/>
    <n v="9"/>
    <s v="2027QY2M35__25G1503"/>
    <s v="SONET VIBRANT MT"/>
    <s v="LJD3BA1DAV0092720"/>
    <n v="72236220"/>
    <n v="1895600"/>
    <n v="64953412"/>
    <n v="91739999"/>
    <s v="10%"/>
    <n v="0"/>
    <n v="614008"/>
    <n v="614008"/>
    <n v="8.5000017996511995E-3"/>
    <m/>
  </r>
  <r>
    <s v="2026/05/31"/>
    <s v="Mayo"/>
    <s v="FAW"/>
    <x v="7"/>
    <s v="WALTER ZAPATA VASQUEZ"/>
    <n v="867"/>
    <s v="REFERIDO"/>
    <n v="27024281"/>
    <s v="VKP 91651"/>
    <s v="2026-04-29"/>
    <s v="1970-01-01"/>
    <s v="2026-05-28"/>
    <s v="AVILA BLANDON LUISA TATIANA"/>
    <n v="9"/>
    <s v="2026WKR TIGER DC 3.6"/>
    <s v="WKR TIGER DC 3.6"/>
    <s v="LFWA3KC32TAE95112"/>
    <n v="96630252"/>
    <n v="600000"/>
    <n v="86277011"/>
    <n v="114990000"/>
    <s v="10%"/>
    <n v="0"/>
    <n v="821357.14200000011"/>
    <n v="821357.14200000011"/>
    <n v="8.5000000000000006E-3"/>
    <m/>
  </r>
  <r>
    <s v="2026/05/31"/>
    <s v="Mayo"/>
    <s v="Honda "/>
    <x v="8"/>
    <s v="José Manuel Triviño Jiménez"/>
    <n v="947"/>
    <s v="VITRINA"/>
    <n v="27029044"/>
    <s v="VKP 91663"/>
    <s v="2026-04-30"/>
    <s v="2026-05-23"/>
    <s v="2026-05-21"/>
    <s v="HURTADO RIOS PLINIO"/>
    <n v="2"/>
    <s v="2026WR-V PRESTIGE"/>
    <s v="WR-V EXL-A CVT"/>
    <s v="93HDG5840TK502299"/>
    <n v="89606299"/>
    <n v="83000"/>
    <n v="83302756"/>
    <n v="113800000"/>
    <s v="7%"/>
    <n v="0"/>
    <n v="896063"/>
    <n v="896063"/>
    <n v="1.0000000111599298E-2"/>
    <m/>
  </r>
  <r>
    <s v="2026/05/31"/>
    <s v="Mayo"/>
    <s v="Honda "/>
    <x v="8"/>
    <s v="José Manuel Triviño Jiménez"/>
    <n v="947"/>
    <s v="REFERIDO"/>
    <n v="27063197"/>
    <s v="VKP 91761"/>
    <s v="2026-05-26"/>
    <s v="1970-01-01"/>
    <s v="2026-05-29"/>
    <s v="ILLERA SARMIENTO CAMILO"/>
    <n v="2"/>
    <s v="2026WR-V PRESTIGE"/>
    <s v="WR-V EXL-A CVT"/>
    <s v="93HDG5840TK502779"/>
    <n v="92047244"/>
    <n v="1618000"/>
    <n v="83302756"/>
    <n v="116900000"/>
    <s v="9%"/>
    <n v="116900000"/>
    <n v="920472"/>
    <m/>
    <n v="9.9999952198460175E-3"/>
    <m/>
  </r>
  <r>
    <s v="2026/05/31"/>
    <s v="Mayo"/>
    <s v="Honda "/>
    <x v="8"/>
    <s v="LILIANA TRUJILLO GARCIA"/>
    <n v="911"/>
    <s v="VITRINA"/>
    <n v="27083722"/>
    <s v="VKP 91770"/>
    <s v="2026-05-27"/>
    <s v="1970-01-01"/>
    <s v="2026-05-29"/>
    <s v="ERAZO PORTILLO OMAR MARTIN"/>
    <n v="6"/>
    <s v="2026CR-V 1.5T 5DR EXL-R CVT"/>
    <s v="CR-V TOURING AWD"/>
    <s v="2HKRS487XTH600431"/>
    <n v="155118110"/>
    <n v="83000"/>
    <n v="150400787"/>
    <n v="197000000"/>
    <s v="3%"/>
    <n v="0"/>
    <n v="1551181"/>
    <n v="1551181"/>
    <n v="9.9999993553299485E-3"/>
    <m/>
  </r>
  <r>
    <s v="2026/05/31"/>
    <s v="Mayo"/>
    <s v="Honda "/>
    <x v="8"/>
    <s v="LILIANA TRUJILLO GARCIA"/>
    <n v="911"/>
    <s v="VITRINA"/>
    <n v="27087479"/>
    <s v="VKP 91774"/>
    <s v="2026-05-28"/>
    <s v="1970-01-01"/>
    <s v="2026-05-29"/>
    <s v="MANRIQUE ZAMBRANO RONALD ALFREDO"/>
    <n v="6"/>
    <s v="2026WR-V PRESTIGE"/>
    <s v="WR-V EXL-A CVT"/>
    <s v="93HDG5840TK502630"/>
    <n v="92047244"/>
    <n v="83000"/>
    <n v="83302756"/>
    <n v="116900000"/>
    <s v="9%"/>
    <n v="71000000"/>
    <n v="920472"/>
    <m/>
    <n v="9.9999952198460175E-3"/>
    <m/>
  </r>
  <r>
    <s v="2026/05/31"/>
    <s v="Mayo"/>
    <s v="Honda "/>
    <x v="8"/>
    <s v="LILIANA TRUJILLO GARCIA"/>
    <n v="911"/>
    <s v="VITRINA"/>
    <n v="27066411"/>
    <s v="VKP 91756"/>
    <s v="2026-05-26"/>
    <s v="1970-01-01"/>
    <s v="2026-05-27"/>
    <s v="ARANGO VELEZ OSCAR"/>
    <n v="6"/>
    <s v="2026WR-V PRESTIGE"/>
    <s v="WR-V EXL-A CVT"/>
    <s v="93HDG5840TK502658"/>
    <n v="92047244"/>
    <n v="83000"/>
    <n v="83302756"/>
    <n v="116900000"/>
    <s v="9%"/>
    <n v="67063150"/>
    <n v="920472"/>
    <m/>
    <n v="9.9999952198460175E-3"/>
    <m/>
  </r>
  <r>
    <s v="2026/05/31"/>
    <s v="Mayo"/>
    <s v="Honda "/>
    <x v="8"/>
    <s v="LILIANA TRUJILLO GARCIA"/>
    <n v="911"/>
    <s v="VITRINA"/>
    <n v="27065267"/>
    <s v="VKP 91753"/>
    <s v="2026-05-26"/>
    <s v="1970-01-01"/>
    <s v="2026-05-27"/>
    <s v="GIRALDO JARAMILLO BEATRIZ ELENA"/>
    <n v="6"/>
    <s v="2026WR-V PRESTIGE"/>
    <s v="WR-V EXL-A CVT"/>
    <s v="93HDG5840TK502662"/>
    <n v="88110236"/>
    <n v="83000"/>
    <n v="83302756"/>
    <n v="111900000"/>
    <s v="5%"/>
    <n v="24115200"/>
    <n v="881102"/>
    <m/>
    <n v="9.9999959142091054E-3"/>
    <m/>
  </r>
  <r>
    <s v="2026/05/31"/>
    <s v="Mayo"/>
    <s v="Honda "/>
    <x v="8"/>
    <s v="LILIANA TRUJILLO GARCIA"/>
    <n v="911"/>
    <s v="VITRINA"/>
    <n v="27065509"/>
    <s v="VKP 91755"/>
    <s v="2026-05-26"/>
    <s v="1970-01-01"/>
    <s v="2026-05-27"/>
    <s v="GIRALDO JARAMILLO BEATRIZ ELENA"/>
    <n v="6"/>
    <s v="2026WR-V PRESTIGE"/>
    <s v="WR-V EXL-A CVT"/>
    <s v="93HDG5840TK502665"/>
    <n v="88110236"/>
    <n v="83000"/>
    <n v="83302756"/>
    <n v="111900000"/>
    <s v="5%"/>
    <n v="24115200"/>
    <n v="881102"/>
    <m/>
    <n v="9.9999959142091054E-3"/>
    <m/>
  </r>
  <r>
    <s v="2026/05/31"/>
    <s v="Mayo"/>
    <s v="Honda "/>
    <x v="8"/>
    <s v="LILIANA TRUJILLO GARCIA"/>
    <n v="911"/>
    <s v="VITRINA"/>
    <n v="27045680"/>
    <s v="VKP 91672"/>
    <s v="2026-05-09"/>
    <s v="1970-01-01"/>
    <s v="2026-05-15"/>
    <s v="GUTIERREZ SALAZAR JEAN PIERRE"/>
    <n v="6"/>
    <s v="2026HR-V EXL PRESTIGE 2WD"/>
    <s v="HR-V EXL-A"/>
    <s v="93HRV3860TK302580"/>
    <n v="98346457"/>
    <n v="83000"/>
    <n v="89495276"/>
    <n v="124900000"/>
    <s v="9%"/>
    <n v="0"/>
    <n v="983465"/>
    <n v="983465"/>
    <n v="1.0000004372297824E-2"/>
    <m/>
  </r>
  <r>
    <s v="2026/05/31"/>
    <s v="Mayo"/>
    <s v="Kia "/>
    <x v="9"/>
    <s v="ESTEBAN JARAMILLO JARAMILLO"/>
    <n v="866"/>
    <s v="VITRINA"/>
    <n v="27044780"/>
    <s v="VKP 91675"/>
    <s v="2026-05-11"/>
    <s v="2026-05-29"/>
    <s v="2026-05-20"/>
    <s v="TOVAR PAVA JUAN SEBASTIAN"/>
    <n v="8"/>
    <s v="2027BL1A70__24G1601"/>
    <s v="K3 GT LINE"/>
    <s v="3KPFE41ABVE181438"/>
    <n v="83259843"/>
    <n v="1431000"/>
    <n v="76873753"/>
    <n v="105740001"/>
    <s v="8%"/>
    <n v="0"/>
    <n v="707709"/>
    <n v="707709"/>
    <n v="8.5000040175430072E-3"/>
    <m/>
  </r>
  <r>
    <s v="2026/05/31"/>
    <s v="Mayo"/>
    <s v="Kia "/>
    <x v="9"/>
    <s v="ESTEBAN JARAMILLO JARAMILLO"/>
    <n v="866"/>
    <s v="VITRINA"/>
    <n v="27032544"/>
    <s v="VKP 91664"/>
    <s v="2026-04-30"/>
    <s v="2026-05-23"/>
    <s v="2026-05-12"/>
    <s v="GRAJALES MEJIA BLANCA YEIMY"/>
    <n v="8"/>
    <s v="2027BL1A40__25G1600"/>
    <s v="K3 CROSS VIBRANT"/>
    <s v="3KPFF51ABVE180636"/>
    <n v="70661417"/>
    <n v="1431000"/>
    <n v="64603412"/>
    <n v="89740000"/>
    <s v="9%"/>
    <n v="0"/>
    <n v="600622"/>
    <n v="600622"/>
    <n v="8.4999993702362352E-3"/>
    <m/>
  </r>
  <r>
    <s v="2026/05/31"/>
    <s v="Mayo"/>
    <s v="Kia "/>
    <x v="9"/>
    <s v="ESTEBAN JARAMILLO JARAMILLO"/>
    <n v="866"/>
    <s v="VITRINA"/>
    <n v="26976248"/>
    <s v="VKP 91727"/>
    <s v="2026-05-23"/>
    <s v="1970-01-01"/>
    <s v="2026-05-28"/>
    <s v="GALLEGO VILLEGAS MARIANA"/>
    <n v="8"/>
    <s v="2027JA3M20__25G1002"/>
    <s v="PICANTO VIBRANT"/>
    <s v="KNAB2511AVT514516"/>
    <n v="45661417"/>
    <n v="695700"/>
    <n v="41856299"/>
    <n v="57990000"/>
    <s v="8%"/>
    <n v="0"/>
    <n v="388122"/>
    <n v="388122"/>
    <n v="8.4999990254354136E-3"/>
    <m/>
  </r>
  <r>
    <s v="2026/05/31"/>
    <s v="Mayo"/>
    <s v="Kia "/>
    <x v="9"/>
    <s v="ESTEBAN JARAMILLO JARAMILLO"/>
    <n v="866"/>
    <s v="VITRINA"/>
    <n v="27015370"/>
    <s v="VKP 91728"/>
    <s v="2026-05-23"/>
    <s v="1970-01-01"/>
    <s v="2026-05-28"/>
    <s v="VARGAS ACOSTA LEONARDO"/>
    <n v="8"/>
    <s v="2027JA3M20__25G1002"/>
    <s v="PICANTO VIBRANT"/>
    <s v="KNAB2511AVT514564"/>
    <n v="45661417"/>
    <n v="695700"/>
    <n v="41856299"/>
    <n v="57990000"/>
    <s v="8%"/>
    <n v="57990000"/>
    <n v="388122"/>
    <m/>
    <n v="8.4999990254354136E-3"/>
    <m/>
  </r>
  <r>
    <s v="2026/05/31"/>
    <s v="Mayo"/>
    <s v="Kia "/>
    <x v="9"/>
    <s v="ESTEBAN JARAMILLO JARAMILLO"/>
    <n v="866"/>
    <s v="VITRINA"/>
    <n v="27073752"/>
    <s v="VKP 91723"/>
    <s v="2026-05-22"/>
    <s v="1970-01-01"/>
    <s v="2026-05-28"/>
    <s v="VELASQUEZ MARIN DIANA MARIA"/>
    <n v="8"/>
    <s v="2027JA3M20__25G1002"/>
    <s v="PICANTO VIBRANT"/>
    <s v="KNAB2511AVT514846"/>
    <n v="45661417"/>
    <n v="695700"/>
    <n v="41856299"/>
    <n v="57990000"/>
    <s v="8%"/>
    <n v="0"/>
    <n v="388122"/>
    <n v="388122"/>
    <n v="8.4999990254354136E-3"/>
    <m/>
  </r>
  <r>
    <s v="2026/05/31"/>
    <s v="Mayo"/>
    <s v="Kia "/>
    <x v="9"/>
    <s v="ESTEBAN JARAMILLO JARAMILLO"/>
    <n v="866"/>
    <s v="REFERIDO"/>
    <n v="27069103"/>
    <s v="VKP 91711"/>
    <s v="2026-05-21"/>
    <s v="1970-01-01"/>
    <s v="2026-05-28"/>
    <s v="VARGAS GARCIA YHON ALEXANDER"/>
    <n v="8"/>
    <s v="2026SG1A45__25H1600"/>
    <s v="NIRO VIBRANT"/>
    <s v="KNACR81EGT5333496"/>
    <n v="124106195"/>
    <n v="1464000"/>
    <n v="119461062"/>
    <n v="140240000"/>
    <s v="4%"/>
    <n v="0"/>
    <n v="1054903"/>
    <n v="1054903"/>
    <n v="8.5000027597333071E-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2026/04/30"/>
    <s v="Abril"/>
    <s v="Kia "/>
    <x v="0"/>
    <x v="0"/>
    <n v="907"/>
    <s v="AUTOFINANCIERA"/>
    <n v="26968245"/>
    <s v="VKC 70236"/>
    <s v="2026-03-31"/>
    <s v="1970-01-01"/>
    <s v="2026-04-30"/>
    <x v="0"/>
    <n v="12"/>
    <s v="2027AB1A22__24G1401"/>
    <x v="0"/>
    <s v="LJD0AA29BV0379092"/>
    <n v="65946457"/>
    <n v="2024000"/>
    <n v="57013779"/>
    <n v="83752000"/>
    <s v="14%"/>
    <n v="0"/>
    <n v="560545"/>
    <n v="560545"/>
    <n v="8.5000017514208527E-3"/>
    <s v="COMISION AL 100%"/>
  </r>
  <r>
    <s v="2026/04/30"/>
    <s v="Abril"/>
    <s v="Honda "/>
    <x v="1"/>
    <x v="0"/>
    <n v="907"/>
    <s v="CENTRO COMERCIAL"/>
    <n v="27025721"/>
    <s v="VKC 70249"/>
    <s v="2026-04-28"/>
    <s v="1970-01-01"/>
    <s v="2026-04-30"/>
    <x v="1"/>
    <n v="12"/>
    <s v="2026HR-V EXL PRESTIGE 2WD"/>
    <x v="1"/>
    <s v="93HRV3860TK302838"/>
    <n v="98346457"/>
    <n v="234000"/>
    <n v="89003543"/>
    <n v="124900001"/>
    <s v="10%"/>
    <n v="57077101"/>
    <n v="983465"/>
    <n v="0"/>
    <n v="1.0000004372297824E-2"/>
    <s v="COMISION AL 100%"/>
  </r>
  <r>
    <s v="2026/04/30"/>
    <s v="Abril"/>
    <s v="Kia "/>
    <x v="2"/>
    <x v="1"/>
    <n v="823"/>
    <s v="VITRINA"/>
    <n v="27018093"/>
    <s v="VKM 71197"/>
    <s v="2026-04-24"/>
    <s v="1970-01-01"/>
    <s v="2026-04-30"/>
    <x v="2"/>
    <n v="3"/>
    <s v="2026NQ2A40__25H1600"/>
    <x v="2"/>
    <s v="KNAPU81GBT7374059"/>
    <n v="136283186"/>
    <n v="534000"/>
    <n v="124677795"/>
    <n v="154000000"/>
    <s v="9%"/>
    <n v="0"/>
    <n v="681416"/>
    <n v="681416"/>
    <n v="5.0000005136363627E-3"/>
    <s v="COMISION AL 100%"/>
  </r>
  <r>
    <s v="2026/04/30"/>
    <s v="Abril"/>
    <s v="Kia "/>
    <x v="2"/>
    <x v="1"/>
    <n v="823"/>
    <s v="PAGINA WEB ARMOTOR"/>
    <n v="27016202"/>
    <s v="VKM 71193"/>
    <s v="2026-04-23"/>
    <s v="1970-01-01"/>
    <s v="2026-04-30"/>
    <x v="3"/>
    <n v="3"/>
    <s v="2027QY2M35__25G1503"/>
    <x v="3"/>
    <s v="LJD3BA1DAV0094312"/>
    <n v="71047244"/>
    <n v="952200"/>
    <n v="64953412"/>
    <n v="90230000"/>
    <s v="9%"/>
    <n v="0"/>
    <n v="355236"/>
    <n v="355236"/>
    <n v="4.9999969034689087E-3"/>
    <s v="COMISION AL 100%"/>
  </r>
  <r>
    <s v="2026/04/30"/>
    <s v="Abril"/>
    <s v="Kia "/>
    <x v="2"/>
    <x v="2"/>
    <n v="923"/>
    <s v="REFERIDO"/>
    <n v="27015690"/>
    <s v="VKM 71199"/>
    <s v="2026-04-24"/>
    <s v="1970-01-01"/>
    <s v="2026-04-30"/>
    <x v="4"/>
    <n v="2"/>
    <s v="2027QY2M35__25G1503"/>
    <x v="3"/>
    <s v="LJD3BA1DAV0094294"/>
    <n v="73220472"/>
    <n v="624000"/>
    <n v="64953412"/>
    <n v="92990000"/>
    <s v="11%"/>
    <n v="0"/>
    <n v="366102"/>
    <n v="366102"/>
    <n v="4.9999950833422655E-3"/>
    <s v="COMISION AL 100%"/>
  </r>
  <r>
    <s v="2026/04/30"/>
    <s v="Abril"/>
    <s v="Kia "/>
    <x v="3"/>
    <x v="3"/>
    <n v="861"/>
    <s v="VITRINA"/>
    <n v="27007672"/>
    <s v="VKM 71190"/>
    <s v="2026-04-23"/>
    <s v="1970-01-01"/>
    <s v="2026-04-30"/>
    <x v="5"/>
    <n v="11"/>
    <s v="2027BL1A70__25G1601"/>
    <x v="4"/>
    <s v="3KPFD51ABVE180323"/>
    <n v="86614173"/>
    <n v="1901000"/>
    <n v="77595538"/>
    <n v="110000000"/>
    <s v="10%"/>
    <n v="0"/>
    <n v="736220"/>
    <n v="736220"/>
    <n v="8.4999945678636227E-3"/>
    <s v="COMISION AL 100%"/>
  </r>
  <r>
    <s v="2026/04/30"/>
    <s v="Abril"/>
    <s v="Kia "/>
    <x v="3"/>
    <x v="3"/>
    <n v="861"/>
    <s v="VITRINA"/>
    <n v="27026579"/>
    <s v="VKM 71209"/>
    <s v="2026-04-28"/>
    <s v="1970-01-01"/>
    <s v="2026-04-29"/>
    <x v="6"/>
    <n v="11"/>
    <s v="2027BL1A70__24G1601"/>
    <x v="5"/>
    <s v="3KPFE41ABVE181427"/>
    <n v="82933307"/>
    <n v="1431000"/>
    <n v="76873753"/>
    <n v="105325300"/>
    <s v="7%"/>
    <n v="0"/>
    <n v="704933"/>
    <n v="704933"/>
    <n v="8.4999986796619603E-3"/>
    <s v="COMISION AL 100%"/>
  </r>
  <r>
    <s v="2026/04/30"/>
    <s v="Abril"/>
    <s v="Kia "/>
    <x v="3"/>
    <x v="3"/>
    <n v="861"/>
    <s v="AUTOFINANCIERA"/>
    <n v="27012908"/>
    <s v="VKM 71184"/>
    <s v="2026-04-21"/>
    <s v="1970-01-01"/>
    <s v="2026-04-29"/>
    <x v="7"/>
    <n v="11"/>
    <s v="2027QY2A35__25G1503"/>
    <x v="6"/>
    <s v="LJD3BA1DEV0090878"/>
    <n v="81259843"/>
    <n v="1302200"/>
    <n v="71449475"/>
    <n v="103200000"/>
    <s v="12%"/>
    <n v="0"/>
    <n v="690709"/>
    <n v="690709"/>
    <n v="8.5000041164243947E-3"/>
    <s v="COMISION AL 100%"/>
  </r>
  <r>
    <s v="2026/04/30"/>
    <s v="Abril"/>
    <s v="Kia "/>
    <x v="3"/>
    <x v="4"/>
    <n v="324"/>
    <s v="VITRINA"/>
    <n v="27016976"/>
    <s v="VKM 71195"/>
    <s v="2026-04-23"/>
    <s v="1970-01-01"/>
    <s v="2026-04-29"/>
    <x v="8"/>
    <n v="6"/>
    <s v="2027QY2M35__25G1503"/>
    <x v="3"/>
    <s v="LJD3BA1DAV0094338"/>
    <n v="70944277"/>
    <n v="1331200"/>
    <n v="64953412"/>
    <n v="90099232"/>
    <s v="8%"/>
    <n v="0"/>
    <n v="461138"/>
    <n v="461138"/>
    <n v="6.5000028120661517E-3"/>
    <s v="COMISION AL 100%"/>
  </r>
  <r>
    <s v="2026/04/30"/>
    <s v="Abril"/>
    <s v="Kia "/>
    <x v="3"/>
    <x v="5"/>
    <n v="308"/>
    <s v="VITRINA"/>
    <n v="27022516"/>
    <s v="VKM 71207"/>
    <s v="2026-04-27"/>
    <s v="1970-01-01"/>
    <s v="2026-04-29"/>
    <x v="9"/>
    <n v="4"/>
    <s v="2027BL1A70__25G1601"/>
    <x v="4"/>
    <s v="3KPFD51ABVE187216"/>
    <n v="84199213"/>
    <n v="584000"/>
    <n v="76873753"/>
    <n v="106933000"/>
    <s v="9%"/>
    <n v="0"/>
    <n v="378896"/>
    <n v="378896"/>
    <n v="4.4999945545809317E-3"/>
    <s v="COMISION AL 100%"/>
  </r>
  <r>
    <s v="2026/04/30"/>
    <s v="Abril"/>
    <s v="Kia "/>
    <x v="3"/>
    <x v="6"/>
    <n v="867"/>
    <s v="VITRINA"/>
    <n v="27022282"/>
    <s v="VKM 71205"/>
    <s v="2026-04-27"/>
    <s v="1970-01-01"/>
    <s v="2026-04-29"/>
    <x v="10"/>
    <n v="12"/>
    <s v="2027BL1A40__24G1600"/>
    <x v="7"/>
    <s v="3KPFC41ABVE188497"/>
    <n v="71271496"/>
    <n v="1431000"/>
    <n v="63159842"/>
    <n v="90514800"/>
    <s v="11%"/>
    <n v="0"/>
    <n v="570172"/>
    <n v="570172"/>
    <n v="8.0000004489873475E-3"/>
    <s v="COMISION AL 100%"/>
  </r>
  <r>
    <s v="2026/04/30"/>
    <s v="Abril"/>
    <s v="Kia "/>
    <x v="3"/>
    <x v="6"/>
    <n v="867"/>
    <s v="REFERIDO"/>
    <n v="26984650"/>
    <s v="VKM 71171"/>
    <s v="2026-04-11"/>
    <s v="1970-01-01"/>
    <s v="2026-04-28"/>
    <x v="11"/>
    <n v="12"/>
    <s v="2027BL1A70__25G1601"/>
    <x v="4"/>
    <s v="3KPFD51ABVE180133"/>
    <n v="85039370"/>
    <n v="1431000"/>
    <n v="77595538"/>
    <n v="108000000"/>
    <s v="9%"/>
    <n v="0"/>
    <n v="680315"/>
    <n v="680315"/>
    <n v="8.0000004703703713E-3"/>
    <s v="COMISION AL 100%"/>
  </r>
  <r>
    <s v="2026/04/30"/>
    <s v="Abril"/>
    <s v="Kia "/>
    <x v="3"/>
    <x v="6"/>
    <n v="867"/>
    <s v="REFERIDO"/>
    <n v="27014844"/>
    <s v="VKM 71189"/>
    <s v="2026-04-22"/>
    <s v="1970-01-01"/>
    <s v="2026-04-28"/>
    <x v="12"/>
    <n v="12"/>
    <s v="2027QY2A50__25G1503"/>
    <x v="8"/>
    <s v="LJD3BA1DEV0092560"/>
    <n v="89755906"/>
    <n v="1895000"/>
    <n v="80110892"/>
    <n v="113990000"/>
    <s v="11%"/>
    <n v="0"/>
    <n v="718047"/>
    <n v="718047"/>
    <n v="7.9999972369506241E-3"/>
    <s v="COMISION AL 100%"/>
  </r>
  <r>
    <s v="2026/04/30"/>
    <s v="Abril"/>
    <s v="Kia "/>
    <x v="3"/>
    <x v="7"/>
    <n v="966"/>
    <s v="VITRINA"/>
    <n v="23157837"/>
    <s v="VKM 71170"/>
    <s v="2026-04-11"/>
    <s v="1970-01-01"/>
    <s v="2026-04-24"/>
    <x v="13"/>
    <n v="14"/>
    <s v="2027JA3M45__25G1202"/>
    <x v="9"/>
    <s v="KNAB2512AVT496196"/>
    <n v="51688372"/>
    <n v="1062800"/>
    <n v="46908793"/>
    <n v="65644232"/>
    <s v="9%"/>
    <n v="0"/>
    <n v="439351"/>
    <n v="439351"/>
    <n v="8.4999968658328023E-3"/>
    <s v="COMISION AL 100%"/>
  </r>
  <r>
    <s v="2026/04/30"/>
    <s v="Abril"/>
    <s v="Kia "/>
    <x v="3"/>
    <x v="7"/>
    <n v="966"/>
    <s v="VITRINA"/>
    <n v="26986270"/>
    <s v="VKM 71198"/>
    <s v="2026-04-24"/>
    <s v="1970-01-01"/>
    <s v="2026-04-27"/>
    <x v="14"/>
    <n v="14"/>
    <s v="2027QY2M35__25G1503"/>
    <x v="3"/>
    <s v="LJD3BA1DAV0094293"/>
    <n v="70458428"/>
    <n v="712800"/>
    <n v="64953412"/>
    <n v="89482204"/>
    <s v="8%"/>
    <n v="0"/>
    <n v="598897"/>
    <n v="598897"/>
    <n v="8.5000051377813884E-3"/>
    <s v="COMISION AL 100%"/>
  </r>
  <r>
    <s v="2026/04/30"/>
    <s v="Abril"/>
    <s v="Kia "/>
    <x v="3"/>
    <x v="7"/>
    <n v="966"/>
    <s v="VITRINA"/>
    <n v="27002509"/>
    <s v="VKM 71192"/>
    <s v="2026-04-23"/>
    <s v="1970-01-01"/>
    <s v="2026-04-30"/>
    <x v="15"/>
    <n v="14"/>
    <s v="2027QY2M35__25G1503"/>
    <x v="3"/>
    <s v="LJD3BA1DAV0094538"/>
    <n v="71253868"/>
    <n v="781200"/>
    <n v="64953412"/>
    <n v="84792103"/>
    <s v="9%"/>
    <n v="0"/>
    <n v="605658"/>
    <n v="605658"/>
    <n v="8.5000017121877516E-3"/>
    <s v="COMISION AL 100%"/>
  </r>
  <r>
    <s v="2026/04/30"/>
    <s v="Abril"/>
    <s v="Kia "/>
    <x v="4"/>
    <x v="8"/>
    <n v="272"/>
    <s v="AGENCIA PUBLICIDAD"/>
    <n v="27020402"/>
    <s v="VKP 91634"/>
    <s v="2026-04-25"/>
    <s v="1970-01-01"/>
    <s v="2026-04-29"/>
    <x v="16"/>
    <n v="7"/>
    <s v="2027BL1A70__25G1601"/>
    <x v="4"/>
    <s v="3KPFD51ABVE187380"/>
    <n v="83562126"/>
    <n v="1431000"/>
    <n v="76873753"/>
    <n v="106123900"/>
    <s v="8%"/>
    <n v="0"/>
    <n v="584935"/>
    <n v="584935"/>
    <n v="7.0000014121229994E-3"/>
    <s v="COMISION AL 100%"/>
  </r>
  <r>
    <s v="2026/04/30"/>
    <s v="Abril"/>
    <s v="Kia "/>
    <x v="4"/>
    <x v="8"/>
    <n v="272"/>
    <s v="MARCA"/>
    <n v="23174190"/>
    <s v="VKP 91591"/>
    <s v="2026-04-10"/>
    <s v="1970-01-01"/>
    <s v="2026-04-17"/>
    <x v="17"/>
    <n v="7"/>
    <s v="2027JA3M45__25G1202"/>
    <x v="9"/>
    <s v="KNAB2512AVT495965"/>
    <n v="51763780"/>
    <n v="695700"/>
    <n v="46908793"/>
    <n v="65740001"/>
    <s v="9%"/>
    <n v="0"/>
    <n v="362346"/>
    <n v="362346"/>
    <n v="6.9999911134774164E-3"/>
    <s v="COMISION AL 100%"/>
  </r>
  <r>
    <s v="2026/04/30"/>
    <s v="Abril"/>
    <s v="Kia "/>
    <x v="4"/>
    <x v="9"/>
    <n v="1038"/>
    <s v="AGENCIA PUBLICIDAD"/>
    <n v="23148195"/>
    <s v="VKP 91590"/>
    <s v="2026-04-10"/>
    <s v="1970-01-01"/>
    <s v="2026-04-17"/>
    <x v="18"/>
    <n v="5"/>
    <s v="2027JA3M45__25G1202"/>
    <x v="9"/>
    <s v="KNAB2512AVT496247"/>
    <n v="51763780"/>
    <n v="695700"/>
    <n v="46908793"/>
    <n v="65740001"/>
    <s v="9%"/>
    <n v="0"/>
    <n v="232937"/>
    <n v="232937"/>
    <n v="4.4999998068147263E-3"/>
    <s v="COMISION AL 100%"/>
  </r>
  <r>
    <s v="2026/04/30"/>
    <s v="Abril"/>
    <s v="Kia "/>
    <x v="4"/>
    <x v="9"/>
    <n v="1038"/>
    <s v="VITRINA"/>
    <n v="27015942"/>
    <s v="VKP 91625"/>
    <s v="2026-04-23"/>
    <s v="1970-01-01"/>
    <s v="2026-04-29"/>
    <x v="19"/>
    <n v="5"/>
    <s v="2027QY2M35__25G1503"/>
    <x v="3"/>
    <s v="LJD3BA1DAV0094313"/>
    <n v="70858268"/>
    <n v="1425600"/>
    <n v="64953412"/>
    <n v="89990000"/>
    <s v="8%"/>
    <n v="0"/>
    <n v="318862"/>
    <n v="318862"/>
    <n v="4.4999970927880996E-3"/>
    <s v="COMISION AL 100%"/>
  </r>
  <r>
    <s v="2026/04/30"/>
    <s v="Abril"/>
    <s v="Kia "/>
    <x v="4"/>
    <x v="9"/>
    <n v="1038"/>
    <s v="VITRINA"/>
    <n v="27018046"/>
    <s v="VKP 91630"/>
    <s v="2026-04-23"/>
    <s v="1970-01-01"/>
    <s v="2026-04-29"/>
    <x v="20"/>
    <n v="5"/>
    <s v="2027QY2M35__25G1503"/>
    <x v="3"/>
    <s v="LJD3BA1DAV0094537"/>
    <n v="70149685"/>
    <n v="781200"/>
    <n v="64953412"/>
    <n v="89090100"/>
    <s v="7%"/>
    <n v="0"/>
    <n v="315674"/>
    <n v="315674"/>
    <n v="4.5000059515591549E-3"/>
    <s v="COMISION AL 100%"/>
  </r>
  <r>
    <s v="2026/04/30"/>
    <s v="Abril"/>
    <s v="Kia "/>
    <x v="4"/>
    <x v="10"/>
    <n v="279"/>
    <s v="AGENCIA PUBLICIDAD"/>
    <n v="26973132"/>
    <s v="VKP 91572"/>
    <s v="2026-03-31"/>
    <s v="1970-01-01"/>
    <s v="2026-04-29"/>
    <x v="21"/>
    <n v="8"/>
    <s v="2027BL1M40__25G1600"/>
    <x v="10"/>
    <s v="3KPFF51AAVE181079"/>
    <n v="64692992"/>
    <n v="1431000"/>
    <n v="59550918"/>
    <n v="82160100"/>
    <s v="8%"/>
    <n v="0"/>
    <n v="549890"/>
    <n v="549890"/>
    <n v="8.4999933223060698E-3"/>
    <s v="COMISION AL 100%"/>
  </r>
  <r>
    <s v="2026/04/30"/>
    <s v="Abril"/>
    <s v="Kia "/>
    <x v="5"/>
    <x v="11"/>
    <n v="866"/>
    <s v="VITRINA"/>
    <n v="26999580"/>
    <s v="VKP 91612"/>
    <s v="2026-04-17"/>
    <s v="1970-01-01"/>
    <s v="2026-04-27"/>
    <x v="22"/>
    <n v="6"/>
    <s v="2026QY2A35__25G1501"/>
    <x v="6"/>
    <s v="LJD3BA1DET0076309"/>
    <n v="75030630"/>
    <n v="735600"/>
    <n v="69284120"/>
    <n v="95288900"/>
    <s v="8%"/>
    <n v="0"/>
    <n v="525214"/>
    <n v="525214"/>
    <n v="6.9999945355650088E-3"/>
    <s v="COMISION AL 100%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s v="2026/05/31"/>
    <s v="Mayo"/>
    <s v="Kia "/>
    <x v="0"/>
    <x v="0"/>
    <x v="0"/>
    <s v="VITRINA"/>
    <n v="27060442"/>
    <s v="VKA 120689"/>
    <s v="2026-05-14"/>
    <s v="1970-01-01"/>
    <s v="2026-05-29"/>
    <x v="0"/>
    <n v="8"/>
    <s v="2027BL1A70__25G1601"/>
    <x v="0"/>
    <s v="3KPFD51ABVE176785"/>
    <n v="84047244"/>
    <n v="1761000"/>
    <n v="77595538"/>
    <n v="106740000"/>
    <s v="8%"/>
    <n v="0"/>
    <n v="714402"/>
    <n v="714402"/>
    <n v="8.5000050685778584E-3"/>
    <m/>
    <s v="COMISION AL 100%"/>
  </r>
  <r>
    <s v="2026/05/31"/>
    <s v="Mayo"/>
    <s v="Kia "/>
    <x v="0"/>
    <x v="0"/>
    <x v="0"/>
    <s v="VITRINA"/>
    <n v="27061576"/>
    <s v="VKA 120715"/>
    <s v="2026-05-25"/>
    <s v="1970-01-01"/>
    <s v="2026-05-28"/>
    <x v="1"/>
    <n v="8"/>
    <s v="2027BL1A70__25G1601"/>
    <x v="0"/>
    <s v="3KPFD51ABVE196043"/>
    <n v="84047244"/>
    <n v="1784000"/>
    <n v="76151969"/>
    <n v="106740000"/>
    <s v="9%"/>
    <n v="0"/>
    <n v="714402"/>
    <n v="714402"/>
    <n v="8.5000050685778584E-3"/>
    <m/>
    <s v="COMISION AL 100%"/>
  </r>
  <r>
    <s v="2026/05/31"/>
    <s v="Mayo"/>
    <s v="Kia "/>
    <x v="0"/>
    <x v="0"/>
    <x v="0"/>
    <s v="VITRINA"/>
    <n v="27078479"/>
    <s v="VKA 120714"/>
    <s v="2026-05-25"/>
    <s v="1970-01-01"/>
    <s v="2026-05-29"/>
    <x v="2"/>
    <n v="8"/>
    <s v="2027BL1A70__25G1601"/>
    <x v="0"/>
    <s v="3KPFD51ABVE196087"/>
    <n v="84047244"/>
    <n v="1784000"/>
    <n v="76151969"/>
    <n v="106740000"/>
    <s v="9%"/>
    <n v="97567000"/>
    <n v="714402"/>
    <n v="0"/>
    <n v="8.5000050685778584E-3"/>
    <m/>
    <s v="COMISION AL 100%"/>
  </r>
  <r>
    <s v="2026/05/31"/>
    <s v="Mayo"/>
    <s v="Kia "/>
    <x v="0"/>
    <x v="0"/>
    <x v="0"/>
    <s v="CENTRO COMERCIAL"/>
    <n v="27074731"/>
    <s v="VKA 120700"/>
    <s v="2026-05-22"/>
    <s v="2026-05-27"/>
    <s v="2026-05-25"/>
    <x v="3"/>
    <n v="8"/>
    <s v="2027BL1A70__24G1601"/>
    <x v="1"/>
    <s v="3KPFE41ABVE181403"/>
    <n v="81594646"/>
    <n v="1571000"/>
    <n v="76873753"/>
    <n v="103625200"/>
    <s v="6%"/>
    <n v="0"/>
    <n v="693554"/>
    <n v="693554"/>
    <n v="8.4999939824483093E-3"/>
    <m/>
    <s v="COMISION AL 100%"/>
  </r>
  <r>
    <s v="2026/05/31"/>
    <s v="Mayo"/>
    <s v="Kia "/>
    <x v="0"/>
    <x v="0"/>
    <x v="0"/>
    <s v="VITRINA"/>
    <n v="27077080"/>
    <s v="VKA 120708"/>
    <s v="2026-05-23"/>
    <s v="1970-01-01"/>
    <s v="2026-05-23"/>
    <x v="4"/>
    <n v="8"/>
    <s v="2027JA3M20__25G1002"/>
    <x v="2"/>
    <s v="KNAB2511AVT514181"/>
    <n v="45661417"/>
    <n v="667200"/>
    <n v="41856299"/>
    <n v="57990000"/>
    <s v="8%"/>
    <n v="0"/>
    <n v="388122"/>
    <n v="388122"/>
    <n v="8.4999990254354136E-3"/>
    <m/>
    <s v="COMISION AL 100%"/>
  </r>
  <r>
    <s v="2026/05/31"/>
    <s v="Mayo"/>
    <s v="Kia "/>
    <x v="0"/>
    <x v="0"/>
    <x v="0"/>
    <s v="VITRINA"/>
    <n v="27057856"/>
    <s v="VKA 120709"/>
    <s v="2026-05-23"/>
    <s v="1970-01-01"/>
    <s v="2026-05-23"/>
    <x v="5"/>
    <n v="8"/>
    <s v="2027JA3M20__25G1002"/>
    <x v="2"/>
    <s v="KNAB2511AVT514546"/>
    <n v="45661417"/>
    <n v="667200"/>
    <n v="41856299"/>
    <n v="57990000"/>
    <s v="8%"/>
    <n v="7151800"/>
    <n v="388122"/>
    <n v="0"/>
    <n v="8.4999990254354136E-3"/>
    <m/>
    <s v="COMISION AL 100%"/>
  </r>
  <r>
    <s v="2026/05/31"/>
    <s v="Mayo"/>
    <s v="Kia "/>
    <x v="0"/>
    <x v="0"/>
    <x v="0"/>
    <s v="CENTRO COMERCIAL"/>
    <n v="27053415"/>
    <s v="VKA 120688"/>
    <s v="2026-05-14"/>
    <s v="2026-05-28"/>
    <s v="2026-05-19"/>
    <x v="6"/>
    <n v="8"/>
    <s v="2027YB2A40__25H1001"/>
    <x v="3"/>
    <s v="KNAD6817GVT109829"/>
    <n v="86506726"/>
    <n v="781200"/>
    <n v="85995047"/>
    <n v="97752600"/>
    <s v="1%"/>
    <n v="0"/>
    <n v="735307"/>
    <n v="735307"/>
    <n v="8.4999980232750919E-3"/>
    <m/>
    <s v="COMISION AL 100%"/>
  </r>
  <r>
    <s v="2026/05/31"/>
    <s v="Mayo"/>
    <s v="Kia "/>
    <x v="0"/>
    <x v="0"/>
    <x v="0"/>
    <s v="VITRINA"/>
    <n v="27053901"/>
    <s v="VKA 120686"/>
    <s v="2026-05-13"/>
    <s v="2026-05-25"/>
    <s v="2026-05-20"/>
    <x v="7"/>
    <n v="8"/>
    <s v="2027NQ2A40__25H1600"/>
    <x v="4"/>
    <s v="KNAPU81GBV7364096"/>
    <n v="135130619"/>
    <n v="1041120"/>
    <n v="127425664"/>
    <n v="152697599"/>
    <s v="6%"/>
    <n v="0"/>
    <n v="1148610"/>
    <n v="1148610"/>
    <n v="8.499998064835328E-3"/>
    <m/>
    <s v="COMISION AL 100%"/>
  </r>
  <r>
    <s v="2026/05/31"/>
    <s v="Mayo"/>
    <s v="Kia "/>
    <x v="0"/>
    <x v="1"/>
    <x v="1"/>
    <s v="VITRINA"/>
    <n v="27084666"/>
    <s v="VKA 120721"/>
    <s v="2026-05-27"/>
    <s v="2026-05-30"/>
    <s v="2026-05-29"/>
    <x v="8"/>
    <n v="4"/>
    <s v="2027BL1A60__24G1600"/>
    <x v="5"/>
    <s v="3KPFC41ABVE183369"/>
    <n v="73811024"/>
    <n v="1751000"/>
    <n v="68212336"/>
    <n v="93740000"/>
    <s v="8%"/>
    <n v="0"/>
    <n v="369055"/>
    <n v="369055"/>
    <n v="4.9999983742265927E-3"/>
    <m/>
    <s v="COMISION AL 100%"/>
  </r>
  <r>
    <s v="2026/05/31"/>
    <s v="Mayo"/>
    <s v="Kia "/>
    <x v="0"/>
    <x v="1"/>
    <x v="1"/>
    <s v="VITRINA"/>
    <n v="27077853"/>
    <s v="VKA 120710"/>
    <s v="2026-05-25"/>
    <s v="1970-01-01"/>
    <s v="2026-05-25"/>
    <x v="9"/>
    <n v="4"/>
    <s v="2027JA3M20__25G1002"/>
    <x v="2"/>
    <s v="KNAB2511AVT514525"/>
    <n v="45661417"/>
    <n v="667200"/>
    <n v="41856299"/>
    <n v="57990000"/>
    <s v="8%"/>
    <n v="9729277"/>
    <n v="228307"/>
    <n v="0"/>
    <n v="4.9999981384721368E-3"/>
    <m/>
    <s v="COMISION AL 100%"/>
  </r>
  <r>
    <s v="2026/05/31"/>
    <s v="Mayo"/>
    <s v="Kia "/>
    <x v="0"/>
    <x v="1"/>
    <x v="1"/>
    <s v="VITRINA"/>
    <n v="27071138"/>
    <s v="VKA 120701"/>
    <s v="2026-05-23"/>
    <s v="1970-01-01"/>
    <s v="2026-05-28"/>
    <x v="10"/>
    <n v="4"/>
    <s v="2027JA3M20__25G1002"/>
    <x v="2"/>
    <s v="KNAB2511AVT514560"/>
    <n v="45661417"/>
    <n v="667200"/>
    <n v="41856299"/>
    <n v="57990000"/>
    <s v="8%"/>
    <n v="0"/>
    <n v="228307"/>
    <n v="228307"/>
    <n v="4.9999981384721368E-3"/>
    <m/>
    <s v="COMISION AL 100%"/>
  </r>
  <r>
    <s v="2026/05/31"/>
    <s v="Mayo"/>
    <s v="Kia "/>
    <x v="0"/>
    <x v="1"/>
    <x v="1"/>
    <s v="VITRINA"/>
    <n v="27048073"/>
    <s v="VKA 120685"/>
    <s v="2026-05-12"/>
    <s v="2026-05-19"/>
    <s v="2026-05-19"/>
    <x v="11"/>
    <n v="4"/>
    <s v="2027YB2A40__25H1001"/>
    <x v="3"/>
    <s v="KNAD6817GVT109589"/>
    <n v="87380531"/>
    <n v="735600"/>
    <n v="85995047"/>
    <n v="98740000"/>
    <s v="2%"/>
    <n v="0"/>
    <n v="436903"/>
    <n v="436903"/>
    <n v="5.0000039482479223E-3"/>
    <m/>
    <s v="COMISION AL 100%"/>
  </r>
  <r>
    <s v="2026/05/31"/>
    <s v="Mayo"/>
    <s v="Kia "/>
    <x v="0"/>
    <x v="2"/>
    <x v="2"/>
    <s v="VITRINA"/>
    <n v="27071019"/>
    <s v="VKA 120695"/>
    <s v="2026-05-21"/>
    <s v="1970-01-01"/>
    <s v="2026-05-26"/>
    <x v="12"/>
    <n v="2"/>
    <s v="2027JA3M45__25G1202"/>
    <x v="6"/>
    <s v="KNAB2512AVT513540"/>
    <n v="51763780"/>
    <n v="667200"/>
    <n v="46908793"/>
    <n v="65740001"/>
    <s v="9%"/>
    <n v="0"/>
    <n v="258819"/>
    <n v="258819"/>
    <n v="5.000001931852736E-3"/>
    <m/>
    <s v="COMISION AL 100%"/>
  </r>
  <r>
    <s v="2026/05/31"/>
    <s v="Mayo"/>
    <s v="Kia "/>
    <x v="0"/>
    <x v="2"/>
    <x v="2"/>
    <s v="VITRINA"/>
    <n v="27072421"/>
    <s v="VKA 120702"/>
    <s v="2026-05-23"/>
    <s v="2026-05-23"/>
    <s v="2026-05-29"/>
    <x v="13"/>
    <n v="2"/>
    <s v="2027QY2M35__25G1503"/>
    <x v="7"/>
    <s v="LJD3BA1DAV0092709"/>
    <n v="70149606"/>
    <n v="781200"/>
    <n v="64953412"/>
    <n v="89090000"/>
    <s v="7%"/>
    <n v="0"/>
    <n v="350748"/>
    <n v="350748"/>
    <n v="4.9999995723425733E-3"/>
    <m/>
    <s v="COMISION AL 100%"/>
  </r>
  <r>
    <s v="2026/05/31"/>
    <s v="Mayo"/>
    <s v="Kia "/>
    <x v="0"/>
    <x v="3"/>
    <x v="3"/>
    <s v="PLAYA DE VENTAS"/>
    <n v="27066874"/>
    <s v="VKA 120713"/>
    <s v="2026-05-25"/>
    <s v="1970-01-01"/>
    <s v="2026-05-25"/>
    <x v="14"/>
    <n v="8"/>
    <s v="2027BL1M40__25G1600"/>
    <x v="8"/>
    <s v="3KPFF51AAVE194220"/>
    <n v="62000000"/>
    <n v="1464000"/>
    <n v="58107349"/>
    <n v="78740000"/>
    <s v="6%"/>
    <n v="0"/>
    <n v="527000"/>
    <n v="527000"/>
    <n v="8.5000000000000006E-3"/>
    <m/>
    <s v="COMISION AL 100%"/>
  </r>
  <r>
    <s v="2026/05/31"/>
    <s v="Mayo"/>
    <s v="Kia "/>
    <x v="0"/>
    <x v="3"/>
    <x v="3"/>
    <s v="PLAYA DE VENTAS"/>
    <n v="27069237"/>
    <s v="VKA 120699"/>
    <s v="2026-05-21"/>
    <s v="1970-01-01"/>
    <s v="2026-05-28"/>
    <x v="15"/>
    <n v="8"/>
    <s v="2027BL1A40__25G1600"/>
    <x v="9"/>
    <s v="3KPFF51ABVE180583"/>
    <n v="67779528"/>
    <n v="1431000"/>
    <n v="64603412"/>
    <n v="86080001"/>
    <s v="5%"/>
    <n v="0"/>
    <n v="576126"/>
    <n v="576126"/>
    <n v="8.5000001770446088E-3"/>
    <m/>
    <s v="COMISION AL 100%"/>
  </r>
  <r>
    <s v="2026/05/31"/>
    <s v="Mayo"/>
    <s v="Kia "/>
    <x v="0"/>
    <x v="3"/>
    <x v="3"/>
    <s v="VITRINA"/>
    <n v="26975402"/>
    <s v="VKA 120704"/>
    <s v="2026-05-23"/>
    <s v="1970-01-01"/>
    <s v="2026-05-29"/>
    <x v="16"/>
    <n v="8"/>
    <s v="2027JA3M20__25G1002"/>
    <x v="2"/>
    <s v="KNAB2511AVT514508"/>
    <n v="45661417"/>
    <n v="667200"/>
    <n v="41856299"/>
    <n v="57990000"/>
    <s v="8%"/>
    <n v="0"/>
    <n v="388122"/>
    <n v="388122"/>
    <n v="8.4999990254354136E-3"/>
    <m/>
    <s v="COMISION AL 100%"/>
  </r>
  <r>
    <s v="2026/05/31"/>
    <s v="Mayo"/>
    <s v="Kia "/>
    <x v="0"/>
    <x v="3"/>
    <x v="3"/>
    <s v="VITRINA"/>
    <n v="27045487"/>
    <s v="VKA 120707"/>
    <s v="2026-05-23"/>
    <s v="1970-01-01"/>
    <s v="2026-05-29"/>
    <x v="17"/>
    <n v="8"/>
    <s v="2027JA3M20__25G1002"/>
    <x v="2"/>
    <s v="KNAB2511AVT514588"/>
    <n v="45661417"/>
    <n v="667200"/>
    <n v="41856299"/>
    <n v="57990000"/>
    <s v="8%"/>
    <n v="49221800"/>
    <n v="388122"/>
    <n v="0"/>
    <n v="8.4999990254354136E-3"/>
    <m/>
    <s v="COMISION AL 100%"/>
  </r>
  <r>
    <s v="2026/05/31"/>
    <s v="Mayo"/>
    <s v="Kia "/>
    <x v="0"/>
    <x v="3"/>
    <x v="3"/>
    <s v="VITRINA"/>
    <n v="23144299"/>
    <s v="VKA 120705"/>
    <s v="2026-05-23"/>
    <s v="1970-01-01"/>
    <s v="2026-05-29"/>
    <x v="18"/>
    <n v="8"/>
    <s v="2027JA3M20__25G1002"/>
    <x v="2"/>
    <s v="KNAB2511AVT514596"/>
    <n v="45661417"/>
    <n v="667200"/>
    <n v="41856299"/>
    <n v="57990000"/>
    <s v="8%"/>
    <n v="0"/>
    <n v="388122"/>
    <n v="388122"/>
    <n v="8.4999990254354136E-3"/>
    <m/>
    <s v="COMISION AL 100%"/>
  </r>
  <r>
    <s v="2026/05/31"/>
    <s v="Mayo"/>
    <s v="Kia "/>
    <x v="0"/>
    <x v="3"/>
    <x v="3"/>
    <s v="CAMPAÑA CETA"/>
    <n v="23115575"/>
    <s v="VKA 120692"/>
    <s v="2026-05-21"/>
    <s v="1970-01-01"/>
    <s v="2026-05-21"/>
    <x v="19"/>
    <n v="8"/>
    <s v="2027JA3M45__25G1202"/>
    <x v="6"/>
    <s v="KNAB2512AVT514054"/>
    <n v="50211024"/>
    <n v="667200"/>
    <n v="46908793"/>
    <n v="63768000"/>
    <s v="7%"/>
    <n v="3068000"/>
    <n v="426794"/>
    <n v="0"/>
    <n v="8.5000058951197645E-3"/>
    <m/>
    <s v="COMISION AL 100%"/>
  </r>
  <r>
    <s v="2026/05/31"/>
    <s v="Mayo"/>
    <s v="Kia "/>
    <x v="0"/>
    <x v="3"/>
    <x v="3"/>
    <s v="CAMPAÑA CETA"/>
    <n v="23158391"/>
    <s v="VKA 120691"/>
    <s v="2026-05-21"/>
    <s v="1970-01-01"/>
    <s v="2026-05-21"/>
    <x v="20"/>
    <n v="8"/>
    <s v="2027JA3M45__25G1202"/>
    <x v="6"/>
    <s v="KNAB2512AVT514056"/>
    <n v="51763780"/>
    <n v="667200"/>
    <n v="46908793"/>
    <n v="65740001"/>
    <s v="9%"/>
    <n v="1574001"/>
    <n v="439992"/>
    <n v="0"/>
    <n v="8.4999974885914438E-3"/>
    <m/>
    <s v="COMISION AL 100%"/>
  </r>
  <r>
    <s v="2026/05/31"/>
    <s v="Mayo"/>
    <s v="Kia "/>
    <x v="0"/>
    <x v="3"/>
    <x v="3"/>
    <s v="VITRINA"/>
    <n v="27015332"/>
    <s v="VKA 120673"/>
    <s v="2026-04-22"/>
    <s v="2026-05-30"/>
    <s v="2026-05-29"/>
    <x v="21"/>
    <n v="8"/>
    <s v="2027QY2A35__25G1503"/>
    <x v="10"/>
    <s v="LJD3BA1DEV0090810"/>
    <n v="76960630"/>
    <n v="1454000"/>
    <n v="73013970"/>
    <n v="97740000"/>
    <s v="5%"/>
    <n v="0"/>
    <n v="654165"/>
    <n v="654165"/>
    <n v="8.499995387251897E-3"/>
    <m/>
    <s v="COMISION AL 100%"/>
  </r>
  <r>
    <s v="2026/05/31"/>
    <s v="Mayo"/>
    <s v="Kia "/>
    <x v="0"/>
    <x v="4"/>
    <x v="4"/>
    <s v="VITRINA"/>
    <n v="26986704"/>
    <s v="VKA 120659"/>
    <s v="2026-04-10"/>
    <s v="2026-05-11"/>
    <s v="2026-05-07"/>
    <x v="22"/>
    <n v="11"/>
    <s v="2027BL1A70__25G1601"/>
    <x v="0"/>
    <s v="3KPFD51ABVE180098"/>
    <n v="83986299"/>
    <n v="1431000"/>
    <n v="77595538"/>
    <n v="106662600"/>
    <s v="8%"/>
    <n v="0"/>
    <n v="713884"/>
    <n v="713884"/>
    <n v="8.5000054592237716E-3"/>
    <m/>
    <s v="COMISION AL 100%"/>
  </r>
  <r>
    <s v="2026/05/31"/>
    <s v="Mayo"/>
    <s v="Kia "/>
    <x v="0"/>
    <x v="4"/>
    <x v="4"/>
    <s v="VITRINA"/>
    <n v="27078263"/>
    <s v="VKA 120716"/>
    <s v="2026-05-25"/>
    <s v="1970-01-01"/>
    <s v="2026-05-28"/>
    <x v="23"/>
    <n v="11"/>
    <s v="2027BL1A70__25G1601"/>
    <x v="0"/>
    <s v="3KPFD51ABVE196065"/>
    <n v="84047244"/>
    <n v="1834000"/>
    <n v="76151969"/>
    <n v="106740000"/>
    <s v="9%"/>
    <n v="0"/>
    <n v="714402"/>
    <n v="714402"/>
    <n v="8.5000050685778584E-3"/>
    <m/>
    <s v="COMISION AL 100%"/>
  </r>
  <r>
    <s v="2026/05/31"/>
    <s v="Mayo"/>
    <s v="Kia "/>
    <x v="0"/>
    <x v="4"/>
    <x v="4"/>
    <s v="VITRINA"/>
    <n v="27051475"/>
    <s v="VKA 120717"/>
    <s v="2026-05-25"/>
    <s v="1970-01-01"/>
    <s v="2026-05-28"/>
    <x v="24"/>
    <n v="11"/>
    <s v="2027BL1M40__25G1600"/>
    <x v="8"/>
    <s v="3KPFF51AAVE194092"/>
    <n v="63771654"/>
    <n v="1834000"/>
    <n v="58107349"/>
    <n v="80990001"/>
    <s v="9%"/>
    <n v="0"/>
    <n v="542059"/>
    <n v="542059"/>
    <n v="8.4999990748240595E-3"/>
    <m/>
    <s v="COMISION AL 100%"/>
  </r>
  <r>
    <s v="2026/05/31"/>
    <s v="Mayo"/>
    <s v="Kia "/>
    <x v="0"/>
    <x v="4"/>
    <x v="4"/>
    <s v="REFERIDO"/>
    <n v="27073841"/>
    <s v="VKA 120711"/>
    <s v="2026-05-25"/>
    <s v="2026-06-02"/>
    <s v="2026-05-28"/>
    <x v="25"/>
    <n v="11"/>
    <s v="2027BL1A60__25G1601"/>
    <x v="11"/>
    <s v="3KPFF51ABVE180497"/>
    <n v="75385827"/>
    <n v="1751000"/>
    <n v="69655906"/>
    <n v="95740000"/>
    <s v="8%"/>
    <n v="0"/>
    <n v="640780"/>
    <n v="640780"/>
    <n v="8.5000062412262187E-3"/>
    <m/>
    <s v="COMISION AL 100%"/>
  </r>
  <r>
    <s v="2026/05/31"/>
    <s v="Mayo"/>
    <s v="Kia "/>
    <x v="0"/>
    <x v="4"/>
    <x v="4"/>
    <s v="REFERIDO"/>
    <n v="27051041"/>
    <s v="VKA 120690"/>
    <s v="2026-05-20"/>
    <s v="2026-05-27"/>
    <s v="2026-05-25"/>
    <x v="26"/>
    <n v="11"/>
    <s v="2027BL1A40__25G1600"/>
    <x v="9"/>
    <s v="3KPFF51ABVE181011"/>
    <n v="67777795"/>
    <n v="1461000"/>
    <n v="64603412"/>
    <n v="86077800"/>
    <s v="5%"/>
    <n v="0"/>
    <n v="576111"/>
    <n v="576111"/>
    <n v="8.4999962008206371E-3"/>
    <m/>
    <s v="COMISION AL 100%"/>
  </r>
  <r>
    <s v="2026/05/31"/>
    <s v="Mayo"/>
    <s v="Kia "/>
    <x v="0"/>
    <x v="4"/>
    <x v="4"/>
    <s v="VITRINA"/>
    <n v="27062073"/>
    <s v="VKA 120703"/>
    <s v="2026-05-23"/>
    <s v="1970-01-01"/>
    <s v="2026-05-28"/>
    <x v="27"/>
    <n v="11"/>
    <s v="2027JA3M20__25G1002"/>
    <x v="2"/>
    <s v="KNAB2511AVT514509"/>
    <n v="45661417"/>
    <n v="667200"/>
    <n v="41856299"/>
    <n v="57990000"/>
    <s v="8%"/>
    <n v="9990000"/>
    <n v="388122"/>
    <n v="0"/>
    <n v="8.4999990254354136E-3"/>
    <m/>
    <s v="COMISION AL 100%"/>
  </r>
  <r>
    <s v="2026/05/31"/>
    <s v="Mayo"/>
    <s v="Kia "/>
    <x v="0"/>
    <x v="4"/>
    <x v="4"/>
    <s v="MARCA"/>
    <n v="27062147"/>
    <s v="VKA 120696"/>
    <s v="2026-05-21"/>
    <s v="1970-01-01"/>
    <s v="2026-05-26"/>
    <x v="28"/>
    <n v="11"/>
    <s v="2027JA3M20__25G1002"/>
    <x v="2"/>
    <s v="KNAB2511AVT514597"/>
    <n v="44291575"/>
    <n v="667200"/>
    <n v="41856299"/>
    <n v="56250300"/>
    <s v="5%"/>
    <n v="931400"/>
    <n v="376478"/>
    <n v="0"/>
    <n v="8.49999125115781E-3"/>
    <m/>
    <s v="COMISION AL 100%"/>
  </r>
  <r>
    <s v="2026/05/31"/>
    <s v="Mayo"/>
    <s v="Kia "/>
    <x v="0"/>
    <x v="4"/>
    <x v="4"/>
    <s v="REFERIDO"/>
    <n v="27070811"/>
    <s v="VKA 120694"/>
    <s v="2026-05-21"/>
    <s v="1970-01-01"/>
    <s v="2026-05-28"/>
    <x v="29"/>
    <n v="11"/>
    <s v="2027JA3M45__25G1202"/>
    <x v="6"/>
    <s v="KNAB2512AVT512984"/>
    <n v="51763780"/>
    <n v="667200"/>
    <n v="46908793"/>
    <n v="65740001"/>
    <s v="9%"/>
    <n v="12496161"/>
    <n v="439992"/>
    <n v="0"/>
    <n v="8.4999974885914438E-3"/>
    <m/>
    <s v="COMISION AL 100%"/>
  </r>
  <r>
    <s v="2026/05/31"/>
    <s v="Mayo"/>
    <s v="Kia "/>
    <x v="0"/>
    <x v="4"/>
    <x v="4"/>
    <s v="AGENCIA PUBLICIDAD"/>
    <n v="27044041"/>
    <s v="VKA 120684"/>
    <s v="2026-05-07"/>
    <s v="2026-05-20"/>
    <s v="2026-05-12"/>
    <x v="30"/>
    <n v="11"/>
    <s v="2027SG1A62__25H1600"/>
    <x v="12"/>
    <s v="KNACR81EGV5341156"/>
    <n v="127245664"/>
    <n v="2054000"/>
    <n v="125832743"/>
    <n v="143787600"/>
    <s v="1%"/>
    <n v="0"/>
    <n v="1081588"/>
    <n v="1081588"/>
    <n v="8.4999988683307909E-3"/>
    <m/>
    <s v="COMISION AL 100%"/>
  </r>
  <r>
    <s v="2026/05/31"/>
    <s v="Mayo"/>
    <s v="Kia "/>
    <x v="0"/>
    <x v="4"/>
    <x v="4"/>
    <s v="VITRINA"/>
    <n v="27067099"/>
    <s v="VKA 120693"/>
    <s v="2026-05-21"/>
    <s v="2026-06-02"/>
    <s v="2026-05-28"/>
    <x v="31"/>
    <n v="11"/>
    <s v="2027NQ2A40__25H1600"/>
    <x v="4"/>
    <s v="KNAPU81GBV7361593"/>
    <n v="134448142"/>
    <n v="951200"/>
    <n v="127425664"/>
    <n v="151926400"/>
    <s v="5%"/>
    <n v="0"/>
    <n v="1142809"/>
    <n v="1142809"/>
    <n v="8.499998460372922E-3"/>
    <m/>
    <s v="COMISION AL 100%"/>
  </r>
  <r>
    <s v="2026/05/31"/>
    <s v="Mayo"/>
    <s v="Kia "/>
    <x v="0"/>
    <x v="4"/>
    <x v="4"/>
    <s v="VITRINA"/>
    <n v="27078022"/>
    <s v="VKA 120720"/>
    <s v="2026-05-26"/>
    <s v="1970-01-01"/>
    <s v="2026-05-28"/>
    <x v="32"/>
    <n v="11"/>
    <s v="2027NQ2A40__25H1600"/>
    <x v="4"/>
    <s v="KNAPU81GBV7386516"/>
    <n v="134448142"/>
    <n v="781200"/>
    <n v="121850442"/>
    <n v="151926400"/>
    <s v="9%"/>
    <n v="0"/>
    <n v="1142809"/>
    <n v="571404.5"/>
    <n v="8.499998460372922E-3"/>
    <m/>
    <s v="COMISION AL 50%"/>
  </r>
  <r>
    <s v="2026/05/31"/>
    <s v="Mayo"/>
    <s v="Kia "/>
    <x v="0"/>
    <x v="5"/>
    <x v="5"/>
    <s v="CONTACTO TELEFONICO"/>
    <n v="27078092"/>
    <s v="VKA 120712"/>
    <s v="2026-05-25"/>
    <s v="1970-01-01"/>
    <s v="2026-05-25"/>
    <x v="33"/>
    <n v="6"/>
    <s v="2027BL1M30__24G1600"/>
    <x v="13"/>
    <s v="3KPFC41AAVE197238"/>
    <n v="62984252"/>
    <n v="1784000"/>
    <n v="57385564"/>
    <n v="79990000"/>
    <s v="9%"/>
    <n v="1990000"/>
    <n v="440890"/>
    <n v="0"/>
    <n v="7.0000037469683694E-3"/>
    <m/>
    <s v="COMISION AL 100%"/>
  </r>
  <r>
    <s v="2026/05/31"/>
    <s v="Mayo"/>
    <s v="Kia "/>
    <x v="0"/>
    <x v="5"/>
    <x v="5"/>
    <s v="VITRINA"/>
    <n v="27045802"/>
    <s v="VKA 120719"/>
    <s v="2026-05-26"/>
    <s v="1970-01-01"/>
    <s v="2026-05-28"/>
    <x v="34"/>
    <n v="6"/>
    <s v="2027BL1M40__25G1600"/>
    <x v="8"/>
    <s v="3KPFF51AAVE194098"/>
    <n v="63771654"/>
    <n v="1785000"/>
    <n v="58107349"/>
    <n v="80990001"/>
    <s v="9%"/>
    <n v="0"/>
    <n v="446402"/>
    <n v="446402"/>
    <n v="7.0000066173601209E-3"/>
    <m/>
    <s v="COMISION AL 100%"/>
  </r>
  <r>
    <s v="2026/05/31"/>
    <s v="Mayo"/>
    <s v="Kia "/>
    <x v="0"/>
    <x v="5"/>
    <x v="5"/>
    <s v="PLAYA DE VENTAS"/>
    <n v="27040135"/>
    <s v="VKA 120687"/>
    <s v="2026-05-13"/>
    <s v="2026-05-22"/>
    <s v="2026-05-21"/>
    <x v="35"/>
    <n v="6"/>
    <s v="2027BL1A60__25G1601"/>
    <x v="11"/>
    <s v="3KPFF51ABVE180506"/>
    <n v="75385827"/>
    <n v="1781000"/>
    <n v="69655906"/>
    <n v="95740000"/>
    <s v="8%"/>
    <n v="0"/>
    <n v="527701"/>
    <n v="527701"/>
    <n v="7.0000027989346059E-3"/>
    <m/>
    <s v="COMISION AL 100%"/>
  </r>
  <r>
    <s v="2026/05/31"/>
    <s v="Mayo"/>
    <s v="Kia "/>
    <x v="0"/>
    <x v="5"/>
    <x v="5"/>
    <s v="MARCA"/>
    <n v="27021427"/>
    <s v="VKA 120706"/>
    <s v="2026-05-23"/>
    <s v="1970-01-01"/>
    <s v="2026-05-23"/>
    <x v="36"/>
    <n v="6"/>
    <s v="2027JA3M20__25G1002"/>
    <x v="2"/>
    <s v="KNAB2511AVT514138"/>
    <n v="45661417"/>
    <n v="667200"/>
    <n v="41856299"/>
    <n v="57990000"/>
    <s v="8%"/>
    <n v="56992886"/>
    <n v="319630"/>
    <n v="0"/>
    <n v="7.0000017739265518E-3"/>
    <m/>
    <s v="COMISION AL 100%"/>
  </r>
  <r>
    <s v="2026/05/31"/>
    <s v="Mayo"/>
    <s v="Kia "/>
    <x v="0"/>
    <x v="5"/>
    <x v="5"/>
    <s v="FERIA AUTOMOTRIZ"/>
    <n v="27046632"/>
    <s v="VKA 120697"/>
    <s v="2026-05-21"/>
    <s v="1970-01-01"/>
    <s v="2026-05-28"/>
    <x v="37"/>
    <n v="6"/>
    <s v="2027JA3M45__25G1202"/>
    <x v="6"/>
    <s v="KNAB2512AVT514055"/>
    <n v="51763780"/>
    <n v="668200"/>
    <n v="46908793"/>
    <n v="65740001"/>
    <s v="9%"/>
    <n v="2800301"/>
    <n v="362346"/>
    <n v="0"/>
    <n v="6.9999911134774164E-3"/>
    <m/>
    <s v="COMISION AL 100%"/>
  </r>
  <r>
    <s v="2026/05/31"/>
    <s v="Mayo"/>
    <s v="Kia "/>
    <x v="0"/>
    <x v="5"/>
    <x v="5"/>
    <s v="VITRINA"/>
    <n v="27060946"/>
    <s v="VKA 120698"/>
    <s v="2026-05-21"/>
    <s v="2026-05-29"/>
    <s v="2026-05-25"/>
    <x v="38"/>
    <n v="6"/>
    <s v="2027YB2A40__25H1001"/>
    <x v="3"/>
    <s v="KNAD6817GVT109475"/>
    <n v="86506726"/>
    <n v="1082800"/>
    <n v="85995047"/>
    <n v="97752600"/>
    <s v="1%"/>
    <n v="0"/>
    <n v="605547"/>
    <n v="605547"/>
    <n v="6.9999990520968275E-3"/>
    <m/>
    <s v="COMISION AL 100%"/>
  </r>
  <r>
    <s v="2026/05/31"/>
    <s v="Mayo"/>
    <s v="Honda "/>
    <x v="1"/>
    <x v="6"/>
    <x v="6"/>
    <s v="VITRINA"/>
    <n v="27085810"/>
    <s v="VKA 120722"/>
    <s v="2026-05-28"/>
    <s v="1970-01-01"/>
    <s v="2026-05-29"/>
    <x v="39"/>
    <n v="3"/>
    <s v="2026WR-V PRESTIGE"/>
    <x v="14"/>
    <s v="93HDG5840TK502724"/>
    <n v="89448819"/>
    <n v="83000"/>
    <n v="83302756"/>
    <n v="113600000"/>
    <s v="7%"/>
    <n v="113600000"/>
    <n v="894488"/>
    <n v="0"/>
    <n v="9.9999978758802833E-3"/>
    <m/>
    <s v="COMISION AL 100%"/>
  </r>
  <r>
    <s v="2026/05/31"/>
    <s v="Mayo"/>
    <s v="Honda "/>
    <x v="1"/>
    <x v="6"/>
    <x v="6"/>
    <s v="VITRINA"/>
    <n v="27079715"/>
    <s v="VKA 120718"/>
    <s v="2026-05-25"/>
    <s v="1970-01-01"/>
    <s v="2026-05-29"/>
    <x v="40"/>
    <n v="3"/>
    <s v="2026WR-V PRESTIGE"/>
    <x v="14"/>
    <s v="93HDG5840TK502796"/>
    <n v="91338583"/>
    <n v="1605000"/>
    <n v="83302756"/>
    <n v="116000000"/>
    <s v="9%"/>
    <n v="91000000"/>
    <n v="913386"/>
    <n v="0"/>
    <n v="1.000000186120689E-2"/>
    <m/>
    <s v="COMISION AL 100%"/>
  </r>
  <r>
    <s v="2026/05/31"/>
    <s v="Mayo"/>
    <s v="Honda "/>
    <x v="1"/>
    <x v="6"/>
    <x v="6"/>
    <s v="VITRINA"/>
    <n v="27032004"/>
    <s v="VKA 120683"/>
    <s v="2026-04-30"/>
    <s v="2026-05-14"/>
    <s v="2026-05-07"/>
    <x v="41"/>
    <n v="3"/>
    <s v="2026HR-V EXL PRESTIGE 2WD"/>
    <x v="15"/>
    <s v="93HRV3860TK302737"/>
    <n v="95275591"/>
    <n v="83000"/>
    <n v="89495276"/>
    <n v="121000001"/>
    <s v="6%"/>
    <n v="0"/>
    <n v="952756"/>
    <n v="952756"/>
    <n v="1.0000000944628095E-2"/>
    <m/>
    <s v="COMISION AL 100%"/>
  </r>
  <r>
    <s v="2026/05/31"/>
    <s v="Mayo"/>
    <s v="Kia "/>
    <x v="2"/>
    <x v="7"/>
    <x v="7"/>
    <s v="VITRINA"/>
    <n v="27085570"/>
    <s v="VKC 70263"/>
    <s v="2026-05-27"/>
    <s v="1970-01-01"/>
    <s v="2026-05-29"/>
    <x v="42"/>
    <n v="8"/>
    <s v="2027BL1A40__24G1600"/>
    <x v="16"/>
    <s v="3KPFC41ABVE188527"/>
    <n v="66323150"/>
    <n v="1431000"/>
    <n v="63159842"/>
    <n v="84230400"/>
    <s v="5%"/>
    <n v="64949400"/>
    <n v="563747"/>
    <n v="0"/>
    <n v="8.5000033924806043E-3"/>
    <m/>
    <s v="COMISION AL 100%"/>
  </r>
  <r>
    <s v="2026/05/31"/>
    <s v="Mayo"/>
    <s v="Kia "/>
    <x v="2"/>
    <x v="7"/>
    <x v="7"/>
    <s v="VITRINA"/>
    <n v="27086441"/>
    <s v="VKC 70264"/>
    <s v="2026-05-28"/>
    <s v="1970-01-01"/>
    <s v="2026-05-29"/>
    <x v="43"/>
    <n v="8"/>
    <s v="2027BL1A60__25G1601"/>
    <x v="11"/>
    <s v="3KPFF51ABVE195336"/>
    <n v="73878110"/>
    <n v="1934000"/>
    <n v="68212336"/>
    <n v="93825200"/>
    <s v="8%"/>
    <n v="3485200"/>
    <n v="627964"/>
    <n v="0"/>
    <n v="8.5000008798275968E-3"/>
    <m/>
    <s v="COMISION AL 50%"/>
  </r>
  <r>
    <s v="2026/05/31"/>
    <s v="Mayo"/>
    <s v="Kia "/>
    <x v="2"/>
    <x v="7"/>
    <x v="7"/>
    <s v="VITRINA"/>
    <n v="27088782"/>
    <s v="VKC 70267"/>
    <s v="2026-05-29"/>
    <s v="1970-01-01"/>
    <s v="2026-05-30"/>
    <x v="44"/>
    <n v="8"/>
    <s v="2027BL1A60__25G1601"/>
    <x v="11"/>
    <s v="3KPFF51ABVE195554"/>
    <n v="73501181"/>
    <n v="1604000"/>
    <n v="68212336"/>
    <n v="93346500"/>
    <s v="7%"/>
    <n v="93346500"/>
    <n v="624760"/>
    <n v="0"/>
    <n v="8.4999994761988922E-3"/>
    <m/>
    <s v="COMISION AL 100%"/>
  </r>
  <r>
    <s v="2026/05/31"/>
    <s v="Mayo"/>
    <s v="Kia "/>
    <x v="2"/>
    <x v="7"/>
    <x v="7"/>
    <s v="AUTOFINANCIERA"/>
    <n v="26992143"/>
    <s v="VKC 70260"/>
    <s v="2026-05-23"/>
    <s v="1970-01-01"/>
    <s v="2026-05-29"/>
    <x v="45"/>
    <n v="8"/>
    <s v="2027JA3M20__25G1002"/>
    <x v="2"/>
    <s v="KNAB2511AVT514510"/>
    <n v="46346339"/>
    <n v="695700"/>
    <n v="41856299"/>
    <n v="58859850"/>
    <s v="10%"/>
    <n v="58859850"/>
    <n v="393944"/>
    <n v="0"/>
    <n v="8.500002556836259E-3"/>
    <m/>
    <s v="COMISION AL 100%"/>
  </r>
  <r>
    <s v="2026/05/31"/>
    <s v="Mayo"/>
    <s v="Kia "/>
    <x v="2"/>
    <x v="7"/>
    <x v="7"/>
    <s v="AUTOFINANCIERA"/>
    <n v="26977458"/>
    <s v="VKC 70259"/>
    <s v="2026-05-23"/>
    <s v="1970-01-01"/>
    <s v="2026-05-29"/>
    <x v="46"/>
    <n v="8"/>
    <s v="2027JA3M20__25G1002"/>
    <x v="2"/>
    <s v="KNAB2511AVT514514"/>
    <n v="46346339"/>
    <n v="695700"/>
    <n v="41856299"/>
    <n v="58859850"/>
    <s v="10%"/>
    <n v="58859850"/>
    <n v="393944"/>
    <n v="0"/>
    <n v="8.500002556836259E-3"/>
    <m/>
    <s v="COMISION AL 100%"/>
  </r>
  <r>
    <s v="2026/05/31"/>
    <s v="Mayo"/>
    <s v="Kia "/>
    <x v="2"/>
    <x v="7"/>
    <x v="7"/>
    <s v="EVENTOS"/>
    <n v="27049082"/>
    <s v="VKC 70254"/>
    <s v="2026-05-12"/>
    <s v="1970-01-01"/>
    <s v="2026-05-25"/>
    <x v="47"/>
    <n v="8"/>
    <s v="2027YB2A31__25H1000"/>
    <x v="17"/>
    <s v="KNADA817GVT094846"/>
    <n v="82070796"/>
    <n v="1874000"/>
    <n v="79564910"/>
    <n v="92740000"/>
    <s v="3%"/>
    <n v="0"/>
    <n v="697602"/>
    <n v="697602"/>
    <n v="8.5000028511969111E-3"/>
    <m/>
    <s v="COMISION AL 100%"/>
  </r>
  <r>
    <s v="2026/05/31"/>
    <s v="Mayo"/>
    <s v="Kia "/>
    <x v="2"/>
    <x v="7"/>
    <x v="7"/>
    <s v="AUTOFINANCIERA"/>
    <n v="27048500"/>
    <s v="VKC 70253"/>
    <s v="2026-05-09"/>
    <s v="1970-01-01"/>
    <s v="2026-05-22"/>
    <x v="48"/>
    <n v="8"/>
    <s v="2027YB2A31__25H1001"/>
    <x v="17"/>
    <s v="KNADA817GVT105072"/>
    <n v="90786460"/>
    <n v="735600"/>
    <n v="79564910"/>
    <n v="102588700"/>
    <s v="12%"/>
    <n v="100999700"/>
    <n v="771685"/>
    <n v="0"/>
    <n v="8.5000009913372542E-3"/>
    <m/>
    <s v="COMISION AL 100%"/>
  </r>
  <r>
    <s v="2026/05/31"/>
    <s v="Mayo"/>
    <s v="Kia "/>
    <x v="2"/>
    <x v="7"/>
    <x v="7"/>
    <s v="VITRINA"/>
    <n v="27031329"/>
    <s v="VKC 70251"/>
    <s v="2026-04-30"/>
    <s v="1970-01-01"/>
    <s v="2026-05-22"/>
    <x v="49"/>
    <n v="8"/>
    <s v="2027NQ2A65__25H1601"/>
    <x v="18"/>
    <s v="KNAPV81GBV7370122"/>
    <n v="155447080"/>
    <n v="798300"/>
    <n v="141761947"/>
    <n v="175655200"/>
    <s v="9%"/>
    <n v="0"/>
    <n v="1321300"/>
    <n v="1321300"/>
    <n v="8.4999988420496539E-3"/>
    <m/>
    <s v="COMISION AL 100%"/>
  </r>
  <r>
    <s v="2026/05/31"/>
    <s v="Mayo"/>
    <s v="Kia "/>
    <x v="2"/>
    <x v="8"/>
    <x v="8"/>
    <s v="REFERIDO"/>
    <n v="27024711"/>
    <s v="VKC 70250"/>
    <s v="2026-04-28"/>
    <s v="2026-05-19"/>
    <s v="2026-05-07"/>
    <x v="50"/>
    <n v="1"/>
    <s v="2026QY2A50__25G1500"/>
    <x v="19"/>
    <s v="LJD3BA1DET0086307"/>
    <n v="87196850"/>
    <n v="2485800"/>
    <n v="81554462"/>
    <n v="110740000"/>
    <s v="6%"/>
    <n v="0"/>
    <n v="435984"/>
    <n v="435984"/>
    <n v="4.999997132923953E-3"/>
    <m/>
    <s v="COMISION AL 100%"/>
  </r>
  <r>
    <s v="2026/05/31"/>
    <s v="Mayo"/>
    <s v="Kia "/>
    <x v="2"/>
    <x v="9"/>
    <x v="9"/>
    <s v="AUTOFINANCIERA"/>
    <n v="27057622"/>
    <s v="VKC 70261"/>
    <s v="2026-05-25"/>
    <s v="1970-01-01"/>
    <s v="2026-05-29"/>
    <x v="51"/>
    <n v="3"/>
    <s v="2027BL1A70__25G1601"/>
    <x v="0"/>
    <s v="3KPFD51ABVE196019"/>
    <n v="85307953"/>
    <n v="1464000"/>
    <n v="76151969"/>
    <n v="108341100"/>
    <s v="11%"/>
    <n v="79950000"/>
    <n v="383885.78850000002"/>
    <n v="0"/>
    <n v="4.5000000000000005E-3"/>
    <m/>
    <s v="COMISION AL 100%"/>
  </r>
  <r>
    <s v="2026/05/31"/>
    <s v="Mayo"/>
    <s v="Kia "/>
    <x v="2"/>
    <x v="9"/>
    <x v="9"/>
    <s v="PAGINA WEB ARMOTOR"/>
    <n v="23154113"/>
    <s v="VKC 70257"/>
    <s v="2026-05-23"/>
    <s v="1970-01-01"/>
    <s v="2026-05-28"/>
    <x v="52"/>
    <n v="3"/>
    <s v="2027JA3M20__25G1002"/>
    <x v="2"/>
    <s v="KNAB2511AVT514519"/>
    <n v="45661417"/>
    <n v="695700"/>
    <n v="41856299"/>
    <n v="57990000"/>
    <s v="8%"/>
    <n v="140454"/>
    <n v="205476.37650000001"/>
    <n v="0"/>
    <n v="4.5000000000000005E-3"/>
    <m/>
    <s v="COMISION AL 100%"/>
  </r>
  <r>
    <s v="2026/05/31"/>
    <s v="Mayo"/>
    <s v="Kia "/>
    <x v="2"/>
    <x v="9"/>
    <x v="9"/>
    <s v="PAGINA WEB ARMOTOR"/>
    <n v="27087442"/>
    <s v="VKC 70265"/>
    <s v="2026-05-28"/>
    <s v="1970-01-01"/>
    <s v="2026-05-30"/>
    <x v="53"/>
    <n v="3"/>
    <s v="2027YB2A40__25H1001"/>
    <x v="3"/>
    <s v="KNAD6817GVT121081"/>
    <n v="87380531"/>
    <n v="781200"/>
    <n v="78761143"/>
    <n v="98740000"/>
    <s v="10%"/>
    <n v="63740000"/>
    <n v="393212.38950000005"/>
    <n v="0"/>
    <n v="4.5000000000000005E-3"/>
    <m/>
    <s v="COMISION AL 100%"/>
  </r>
  <r>
    <s v="2026/05/31"/>
    <s v="Mayo"/>
    <s v="Kia "/>
    <x v="2"/>
    <x v="10"/>
    <x v="10"/>
    <s v="REFERIDO"/>
    <n v="27074337"/>
    <s v="VKC 70262"/>
    <s v="2026-05-26"/>
    <s v="1970-01-01"/>
    <s v="2026-05-29"/>
    <x v="54"/>
    <n v="2"/>
    <s v="2027BL1A60__25G1601"/>
    <x v="11"/>
    <s v="3KPFF51ABVE195325"/>
    <n v="75385827"/>
    <n v="2054000"/>
    <n v="68212336"/>
    <n v="95740000"/>
    <s v="10%"/>
    <n v="0"/>
    <n v="376929.13500000001"/>
    <n v="376929.13500000001"/>
    <n v="5.0000000000000001E-3"/>
    <m/>
    <s v="COMISION AL 100%"/>
  </r>
  <r>
    <s v="2026/05/31"/>
    <s v="Mayo"/>
    <s v="Kia "/>
    <x v="2"/>
    <x v="10"/>
    <x v="10"/>
    <s v="PAGINA WEB ARMOTOR"/>
    <n v="27024477"/>
    <s v="VKC 70258"/>
    <s v="2026-05-23"/>
    <s v="1970-01-01"/>
    <s v="2026-05-28"/>
    <x v="55"/>
    <n v="2"/>
    <s v="2027JA3M20__25G1002"/>
    <x v="2"/>
    <s v="KNAB2511AVT514507"/>
    <n v="45661417"/>
    <n v="695700"/>
    <n v="41856299"/>
    <n v="57990000"/>
    <s v="8%"/>
    <n v="57990000"/>
    <n v="228307.08499999999"/>
    <n v="0"/>
    <n v="5.0000000000000001E-3"/>
    <m/>
    <s v="COMISION AL 100%"/>
  </r>
  <r>
    <s v="2026/05/31"/>
    <s v="Mayo"/>
    <s v="Kia "/>
    <x v="3"/>
    <x v="11"/>
    <x v="11"/>
    <s v="VITRINA"/>
    <n v="27040751"/>
    <s v="VKM 71223"/>
    <s v="2026-05-06"/>
    <s v="2026-05-08"/>
    <s v="2026-05-08"/>
    <x v="56"/>
    <n v="10"/>
    <s v="2027BL1A70__25G1601"/>
    <x v="0"/>
    <s v="3KPFD51ABVE173742"/>
    <n v="84212598"/>
    <n v="3090000"/>
    <n v="77595538"/>
    <n v="106950000"/>
    <s v="8%"/>
    <n v="0"/>
    <n v="715807"/>
    <n v="715807"/>
    <n v="8.4999990143992468E-3"/>
    <m/>
    <s v="COMISION AL 100%"/>
  </r>
  <r>
    <s v="2026/05/31"/>
    <s v="Mayo"/>
    <s v="Kia "/>
    <x v="3"/>
    <x v="11"/>
    <x v="11"/>
    <s v="REFERIDO"/>
    <n v="27079031"/>
    <s v="VKM 71277"/>
    <s v="2026-05-26"/>
    <s v="1970-01-01"/>
    <s v="2026-05-29"/>
    <x v="57"/>
    <n v="10"/>
    <s v="2027BL1M40__25G1600"/>
    <x v="8"/>
    <s v="3KPFF51AAVE194210"/>
    <n v="64566929"/>
    <n v="1764000"/>
    <n v="58107349"/>
    <n v="82000000"/>
    <s v="10%"/>
    <n v="26762000"/>
    <n v="548819"/>
    <n v="0"/>
    <n v="8.5000016029878073E-3"/>
    <m/>
    <s v="COMISION AL 100%"/>
  </r>
  <r>
    <s v="2026/05/31"/>
    <s v="Mayo"/>
    <s v="Kia "/>
    <x v="3"/>
    <x v="11"/>
    <x v="11"/>
    <s v="VISITA A PUEBLOS"/>
    <n v="27045384"/>
    <s v="VKM 71225"/>
    <s v="2026-05-08"/>
    <s v="1970-01-01"/>
    <s v="2026-05-21"/>
    <x v="58"/>
    <n v="10"/>
    <s v="2027BL1A60__25G1601"/>
    <x v="11"/>
    <s v="3KPFF51ABVE187237"/>
    <n v="75582677"/>
    <n v="1691000"/>
    <n v="68934120"/>
    <n v="95990000"/>
    <s v="9%"/>
    <n v="0"/>
    <n v="642453"/>
    <n v="321226.5"/>
    <n v="8.500003248098768E-3"/>
    <m/>
    <s v="COMISION AL 50%"/>
  </r>
  <r>
    <s v="2026/05/31"/>
    <s v="Mayo"/>
    <s v="Kia "/>
    <x v="3"/>
    <x v="11"/>
    <x v="11"/>
    <s v="VITRINA"/>
    <n v="26998177"/>
    <s v="VKM 71267"/>
    <s v="2026-05-25"/>
    <s v="1970-01-01"/>
    <s v="2026-05-27"/>
    <x v="59"/>
    <n v="10"/>
    <s v="2027JA3M20__25G1002"/>
    <x v="2"/>
    <s v="KNAB2511AVT514513"/>
    <n v="46062992"/>
    <n v="849600"/>
    <n v="41856299"/>
    <n v="58500000"/>
    <s v="9%"/>
    <n v="0"/>
    <n v="391535"/>
    <n v="391535"/>
    <n v="8.499990621538436E-3"/>
    <m/>
    <s v="COMISION AL 100%"/>
  </r>
  <r>
    <s v="2026/05/31"/>
    <s v="Mayo"/>
    <s v="Kia "/>
    <x v="3"/>
    <x v="11"/>
    <x v="11"/>
    <s v="CONVENIOS EMPRESARIALES"/>
    <n v="26979601"/>
    <s v="VKM 71269"/>
    <s v="2026-05-25"/>
    <s v="1970-01-01"/>
    <s v="2026-05-29"/>
    <x v="60"/>
    <n v="10"/>
    <s v="2027JA3M20__25G1002"/>
    <x v="2"/>
    <s v="KNAB2511AVT514561"/>
    <n v="45661417"/>
    <n v="1149600"/>
    <n v="41856299"/>
    <n v="57990000"/>
    <s v="8%"/>
    <n v="0"/>
    <n v="388122"/>
    <n v="388122"/>
    <n v="8.4999990254354136E-3"/>
    <m/>
    <s v="COMISION AL 100%"/>
  </r>
  <r>
    <s v="2026/05/31"/>
    <s v="Mayo"/>
    <s v="Kia "/>
    <x v="3"/>
    <x v="11"/>
    <x v="11"/>
    <s v="VITRINA"/>
    <n v="27012021"/>
    <s v="VKM 71270"/>
    <s v="2026-05-25"/>
    <s v="1970-01-01"/>
    <s v="2026-05-28"/>
    <x v="61"/>
    <n v="10"/>
    <s v="2027JA3M20__25G1002"/>
    <x v="2"/>
    <s v="KNAB2511AVT514563"/>
    <n v="44535433"/>
    <n v="1149600"/>
    <n v="41856299"/>
    <n v="56560000"/>
    <s v="6%"/>
    <n v="0"/>
    <n v="378551"/>
    <n v="378551"/>
    <n v="8.4999959470473761E-3"/>
    <m/>
    <s v="COMISION AL 100%"/>
  </r>
  <r>
    <s v="2026/05/31"/>
    <s v="Mayo"/>
    <s v="Kia "/>
    <x v="3"/>
    <x v="11"/>
    <x v="11"/>
    <s v="PAGINA WEB ARMOTOR"/>
    <n v="26996517"/>
    <s v="VKM 71253"/>
    <s v="2026-05-21"/>
    <s v="1970-01-01"/>
    <s v="2026-05-25"/>
    <x v="62"/>
    <n v="10"/>
    <s v="2027JA3M20__25G1002"/>
    <x v="2"/>
    <s v="KNAB2511AVT514850"/>
    <n v="46062992"/>
    <n v="849600"/>
    <n v="41856299"/>
    <n v="58500000"/>
    <s v="9%"/>
    <n v="0"/>
    <n v="391535"/>
    <n v="391535"/>
    <n v="8.499990621538436E-3"/>
    <m/>
    <s v="COMISION AL 100%"/>
  </r>
  <r>
    <s v="2026/05/31"/>
    <s v="Mayo"/>
    <s v="Kia "/>
    <x v="3"/>
    <x v="11"/>
    <x v="11"/>
    <s v="VISITA A PUEBLOS"/>
    <n v="26993679"/>
    <s v="VKM 71262"/>
    <s v="2026-05-22"/>
    <s v="1970-01-01"/>
    <s v="2026-05-25"/>
    <x v="63"/>
    <n v="10"/>
    <s v="2027JA3M45__25G1202"/>
    <x v="6"/>
    <s v="KNAB2512AVT514108"/>
    <n v="52362205"/>
    <n v="1415600"/>
    <n v="46908793"/>
    <n v="66500000"/>
    <s v="10%"/>
    <n v="0"/>
    <n v="445079"/>
    <n v="222539.5"/>
    <n v="8.5000049176691475E-3"/>
    <m/>
    <s v="COMISION AL 50%"/>
  </r>
  <r>
    <s v="2026/05/31"/>
    <s v="Mayo"/>
    <s v="Kia "/>
    <x v="3"/>
    <x v="11"/>
    <x v="11"/>
    <s v="VISITA A PUEBLOS"/>
    <n v="27056948"/>
    <s v="VKM 71243"/>
    <s v="2026-05-14"/>
    <s v="1970-01-01"/>
    <s v="2026-05-22"/>
    <x v="64"/>
    <n v="10"/>
    <s v="2027NQ2A40__25H1600"/>
    <x v="4"/>
    <s v="KNAPU81GBV7366039"/>
    <n v="136283186"/>
    <n v="1081200"/>
    <n v="127425664"/>
    <n v="154000000"/>
    <s v="6%"/>
    <n v="0"/>
    <n v="1158407"/>
    <n v="1158407"/>
    <n v="8.4999994056493521E-3"/>
    <m/>
    <s v="COMISION AL 100%"/>
  </r>
  <r>
    <s v="2026/05/31"/>
    <s v="Mayo"/>
    <s v="Kia "/>
    <x v="3"/>
    <x v="11"/>
    <x v="11"/>
    <s v="VITRINA"/>
    <n v="27061270"/>
    <s v="VKM 71245"/>
    <s v="2026-05-15"/>
    <s v="1970-01-01"/>
    <s v="2026-05-25"/>
    <x v="65"/>
    <n v="10"/>
    <s v="2026QY2A50__25G1500"/>
    <x v="19"/>
    <s v="LJD3BA1DET0086328"/>
    <n v="86614173"/>
    <n v="2814000"/>
    <n v="82370006"/>
    <n v="110000000"/>
    <s v="5%"/>
    <n v="0"/>
    <n v="736220"/>
    <n v="736220"/>
    <n v="8.4999945678636227E-3"/>
    <m/>
    <s v="COMISION AL 100%"/>
  </r>
  <r>
    <s v="2026/05/31"/>
    <s v="Mayo"/>
    <s v="Kia "/>
    <x v="3"/>
    <x v="12"/>
    <x v="12"/>
    <s v="VITRINA"/>
    <n v="27024492"/>
    <s v="VKM 71217"/>
    <s v="2026-04-30"/>
    <s v="1970-01-01"/>
    <s v="2026-05-21"/>
    <x v="66"/>
    <n v="8"/>
    <s v="2027BL1A60__25G1601"/>
    <x v="11"/>
    <s v="3KPFF51ABVE167625"/>
    <n v="76960630"/>
    <n v="2274000"/>
    <n v="69655906"/>
    <n v="97740000"/>
    <s v="9%"/>
    <n v="0"/>
    <n v="654165.3550000001"/>
    <n v="654165.3550000001"/>
    <n v="8.5000000000000006E-3"/>
    <m/>
    <s v="COMISION AL 100%"/>
  </r>
  <r>
    <s v="2026/05/31"/>
    <s v="Mayo"/>
    <s v="Kia "/>
    <x v="3"/>
    <x v="12"/>
    <x v="12"/>
    <s v="REFERIDO"/>
    <n v="27083517"/>
    <s v="VKM 71281"/>
    <s v="2026-05-27"/>
    <s v="1970-01-01"/>
    <s v="2026-05-29"/>
    <x v="67"/>
    <n v="8"/>
    <s v="2027BL1A60__25G1601"/>
    <x v="11"/>
    <s v="3KPFF51ABVE195329"/>
    <n v="76960630"/>
    <n v="3450000"/>
    <n v="68212336"/>
    <n v="97740000"/>
    <s v="11%"/>
    <n v="97740000"/>
    <n v="654165.3550000001"/>
    <n v="0"/>
    <n v="8.5000000000000006E-3"/>
    <m/>
    <s v="COMISION AL 100%"/>
  </r>
  <r>
    <s v="2026/05/31"/>
    <s v="Mayo"/>
    <s v="Kia "/>
    <x v="3"/>
    <x v="12"/>
    <x v="12"/>
    <s v="PLAYA DE VENTAS"/>
    <n v="27076352"/>
    <s v="VKM 71268"/>
    <s v="2026-05-25"/>
    <s v="1970-01-01"/>
    <s v="2026-05-30"/>
    <x v="68"/>
    <n v="8"/>
    <s v="2027JA3M20__25G1002"/>
    <x v="2"/>
    <s v="KNAB2511AVT514562"/>
    <n v="47244094"/>
    <n v="1923900"/>
    <n v="41856299"/>
    <n v="60000000"/>
    <s v="11%"/>
    <n v="55000000"/>
    <n v="401574.79900000006"/>
    <n v="0"/>
    <n v="8.5000000000000006E-3"/>
    <m/>
    <s v="COMISION AL 100%"/>
  </r>
  <r>
    <s v="2026/05/31"/>
    <s v="Mayo"/>
    <s v="Kia "/>
    <x v="3"/>
    <x v="12"/>
    <x v="12"/>
    <s v="REFERIDO"/>
    <n v="26990861"/>
    <s v="VKM 71261"/>
    <s v="2026-05-22"/>
    <s v="1970-01-01"/>
    <s v="2026-05-28"/>
    <x v="69"/>
    <n v="8"/>
    <s v="2027JA3M45__25G1202"/>
    <x v="6"/>
    <s v="KNAB2512AVT514053"/>
    <n v="51960630"/>
    <n v="849600"/>
    <n v="46908793"/>
    <n v="65990000"/>
    <s v="10%"/>
    <n v="46551000"/>
    <n v="441665.35500000004"/>
    <n v="0"/>
    <n v="8.5000000000000006E-3"/>
    <m/>
    <s v="COMISION AL 100%"/>
  </r>
  <r>
    <s v="2026/05/31"/>
    <s v="Mayo"/>
    <s v="Kia "/>
    <x v="3"/>
    <x v="12"/>
    <x v="12"/>
    <s v="VITRINA"/>
    <n v="27044868"/>
    <s v="VKM 71226"/>
    <s v="2026-05-08"/>
    <s v="1970-01-01"/>
    <s v="2026-05-29"/>
    <x v="70"/>
    <n v="8"/>
    <s v="2027SP2A43__25G2001"/>
    <x v="20"/>
    <s v="KNAER81AEV7914331"/>
    <n v="88181102"/>
    <n v="1940600"/>
    <n v="84441602"/>
    <n v="111990000"/>
    <s v="4%"/>
    <n v="0"/>
    <n v="749539.36700000009"/>
    <n v="749539.36700000009"/>
    <n v="8.5000000000000006E-3"/>
    <m/>
    <s v="COMISION AL 100%"/>
  </r>
  <r>
    <s v="2026/05/31"/>
    <s v="Mayo"/>
    <s v="Kia "/>
    <x v="3"/>
    <x v="12"/>
    <x v="12"/>
    <s v="TALLER"/>
    <n v="27016172"/>
    <s v="VKM 71214"/>
    <s v="2026-04-30"/>
    <s v="1970-01-01"/>
    <s v="2026-05-21"/>
    <x v="71"/>
    <n v="8"/>
    <s v="2026QY2A50__25G1500"/>
    <x v="19"/>
    <s v="LJD3BA1DET0086303"/>
    <n v="87401575"/>
    <n v="3987000"/>
    <n v="81554462"/>
    <n v="111000000"/>
    <s v="7%"/>
    <n v="0"/>
    <n v="742913.38750000007"/>
    <n v="742913.38750000007"/>
    <n v="8.5000000000000006E-3"/>
    <m/>
    <s v="COMISION AL 100%"/>
  </r>
  <r>
    <s v="2026/05/31"/>
    <s v="Mayo"/>
    <s v="Kia "/>
    <x v="3"/>
    <x v="12"/>
    <x v="12"/>
    <s v="VITRINA"/>
    <s v="27078131"/>
    <s v="VKM 71276"/>
    <s v="2026-05-25"/>
    <s v="1970-01-01"/>
    <s v="2026-05-30"/>
    <x v="72"/>
    <n v="8"/>
    <s v="2027BL1M40__25G1600"/>
    <x v="8"/>
    <s v="3KPFF51AAVE194262"/>
    <n v="64559055"/>
    <n v="2327300"/>
    <n v="58107349"/>
    <n v="81990000"/>
    <s v="7%"/>
    <n v="51990000"/>
    <n v="548751.96750000003"/>
    <n v="0"/>
    <n v="8.5000000000000006E-3"/>
    <m/>
    <s v="COMISION AL 100%"/>
  </r>
  <r>
    <s v="2026/05/31"/>
    <s v="Mayo"/>
    <s v="Kia "/>
    <x v="3"/>
    <x v="12"/>
    <x v="12"/>
    <s v="VITRINA"/>
    <s v="23159962"/>
    <s v="VKM 71121"/>
    <s v="2026-03-31"/>
    <s v="1970-01-01"/>
    <s v="2026-05-30"/>
    <x v="73"/>
    <n v="8"/>
    <s v="2027JA3M35T_25G1203"/>
    <x v="21"/>
    <s v="KNAB2512AVT482386"/>
    <n v="62184874"/>
    <n v="849600"/>
    <n v="54523056"/>
    <n v="74000000"/>
    <s v="7%"/>
    <n v="0"/>
    <n v="528571.429"/>
    <n v="528571.429"/>
    <n v="8.5000000000000006E-3"/>
    <m/>
    <s v="COMISION AL 100%"/>
  </r>
  <r>
    <s v="2026/05/31"/>
    <s v="Mayo"/>
    <s v="Kia "/>
    <x v="3"/>
    <x v="13"/>
    <x v="13"/>
    <s v="PLAYA DE VENTAS"/>
    <n v="27080427"/>
    <s v="VKM 71283"/>
    <s v="2026-05-28"/>
    <s v="1970-01-01"/>
    <s v="2026-05-29"/>
    <x v="74"/>
    <n v="6"/>
    <s v="2027BL1A40__24G1600"/>
    <x v="16"/>
    <s v="3KPFC41ABVE190191"/>
    <n v="69283465"/>
    <n v="1631000"/>
    <n v="63159842"/>
    <n v="87990000"/>
    <s v="9%"/>
    <n v="87990000"/>
    <n v="484984"/>
    <n v="0"/>
    <n v="6.9999963194681443E-3"/>
    <m/>
    <s v="COMISION AL 100%"/>
  </r>
  <r>
    <s v="2026/05/31"/>
    <s v="Mayo"/>
    <s v="Kia "/>
    <x v="3"/>
    <x v="13"/>
    <x v="13"/>
    <s v="AGENCIA PUBLICIDAD"/>
    <n v="27083406"/>
    <s v="VKM 71284"/>
    <s v="2026-05-28"/>
    <s v="1970-01-01"/>
    <s v="2026-05-29"/>
    <x v="75"/>
    <n v="6"/>
    <s v="2027YB2A31__25H1000"/>
    <x v="17"/>
    <s v="KNADA817GVT094488"/>
    <n v="83407080"/>
    <n v="2264000"/>
    <n v="79564910"/>
    <n v="94250000"/>
    <s v="5%"/>
    <n v="0"/>
    <n v="583850"/>
    <n v="291925"/>
    <n v="7.0000052753315424E-3"/>
    <m/>
    <s v="COMISION AL 50%"/>
  </r>
  <r>
    <s v="2026/05/31"/>
    <s v="Mayo"/>
    <s v="Kia "/>
    <x v="3"/>
    <x v="13"/>
    <x v="13"/>
    <s v="VITRINA"/>
    <n v="27072233"/>
    <s v="VKM 71260"/>
    <s v="2026-05-22"/>
    <s v="1970-01-01"/>
    <s v="2026-05-29"/>
    <x v="76"/>
    <n v="6"/>
    <s v="2027YB2A31__25H1000"/>
    <x v="17"/>
    <s v="KNADA817GVT094847"/>
    <n v="82070796"/>
    <n v="2034000"/>
    <n v="79564910"/>
    <n v="92740000"/>
    <s v="3%"/>
    <n v="0"/>
    <n v="574496"/>
    <n v="287248"/>
    <n v="7.0000052150097341E-3"/>
    <m/>
    <s v="COMISION AL 50%"/>
  </r>
  <r>
    <s v="2026/05/31"/>
    <s v="Mayo"/>
    <s v="Kia "/>
    <x v="3"/>
    <x v="13"/>
    <x v="13"/>
    <s v="VITRINA"/>
    <n v="27086475"/>
    <s v="VKM 71288"/>
    <s v="2026-05-29"/>
    <s v="1970-01-01"/>
    <s v="2026-05-30"/>
    <x v="77"/>
    <n v="6"/>
    <s v="2027NQ2A40__25H1600"/>
    <x v="4"/>
    <s v="KNAPU81GBV7361595"/>
    <n v="131849558"/>
    <n v="1041120"/>
    <n v="127425664"/>
    <n v="148990000"/>
    <s v="3%"/>
    <n v="0"/>
    <n v="922947"/>
    <n v="922947"/>
    <n v="7.0000007129337512E-3"/>
    <m/>
    <s v="COMISION AL 100%"/>
  </r>
  <r>
    <s v="2026/05/31"/>
    <s v="Mayo"/>
    <s v="Kia "/>
    <x v="3"/>
    <x v="13"/>
    <x v="13"/>
    <s v="PLAYA DE VENTAS"/>
    <n v="27072509"/>
    <s v="VKM 71264"/>
    <s v="2026-05-22"/>
    <s v="1970-01-01"/>
    <s v="2026-05-29"/>
    <x v="78"/>
    <n v="6"/>
    <s v="2027MQ1A68__45H1600"/>
    <x v="22"/>
    <s v="KNARH81GDV5500215"/>
    <n v="190074380"/>
    <n v="1528300"/>
    <n v="171066942"/>
    <n v="229990000"/>
    <s v="10%"/>
    <n v="0"/>
    <n v="1330521"/>
    <n v="1330521"/>
    <n v="7.0000017887734264E-3"/>
    <m/>
    <s v="COMISION AL 100%"/>
  </r>
  <r>
    <s v="2026/05/31"/>
    <s v="Mayo"/>
    <s v="Kia "/>
    <x v="3"/>
    <x v="13"/>
    <x v="13"/>
    <s v="EVENTOS"/>
    <n v="27048801"/>
    <s v="VKM 71235"/>
    <s v="2026-05-12"/>
    <s v="1970-01-01"/>
    <s v="2026-05-25"/>
    <x v="79"/>
    <n v="6"/>
    <s v="2027QY2M35__25G1503"/>
    <x v="7"/>
    <s v="LJD3BA1DAV0093419"/>
    <n v="74779528"/>
    <n v="3555600"/>
    <n v="64953412"/>
    <n v="94970000"/>
    <s v="13%"/>
    <n v="0"/>
    <n v="523457"/>
    <n v="523457"/>
    <n v="7.0000040652837495E-3"/>
    <m/>
    <s v="COMISION AL 100%"/>
  </r>
  <r>
    <s v="2026/05/31"/>
    <s v="Mayo"/>
    <s v="Kia "/>
    <x v="4"/>
    <x v="14"/>
    <x v="14"/>
    <s v="VITRINA"/>
    <n v="27034472"/>
    <s v="VKM 71220"/>
    <s v="2026-05-04"/>
    <s v="2026-05-16"/>
    <s v="2026-05-07"/>
    <x v="80"/>
    <n v="5"/>
    <s v="2027BL1A60__24G1600"/>
    <x v="5"/>
    <s v="3KPFC41ABVE173193"/>
    <n v="74803150"/>
    <n v="1924000"/>
    <n v="68212336"/>
    <n v="95000000"/>
    <s v="9%"/>
    <n v="0"/>
    <n v="374016"/>
    <n v="374016"/>
    <n v="5.0000033421052454E-3"/>
    <m/>
    <s v="COMISION AL 100%"/>
  </r>
  <r>
    <s v="2026/05/31"/>
    <s v="Mayo"/>
    <s v="Kia "/>
    <x v="4"/>
    <x v="14"/>
    <x v="14"/>
    <s v="GRUPO ARME"/>
    <n v="27084988"/>
    <s v="VKM 71282"/>
    <s v="2026-05-27"/>
    <s v="2026-06-03"/>
    <s v="2026-05-29"/>
    <x v="81"/>
    <n v="5"/>
    <s v="2027BL1A40__25G1600"/>
    <x v="9"/>
    <s v="3KPFF51ABVE181253"/>
    <n v="68220083"/>
    <n v="1431000"/>
    <n v="64603412"/>
    <n v="86639505"/>
    <s v="5%"/>
    <n v="0"/>
    <n v="341100"/>
    <n v="341100"/>
    <n v="4.9999939167473598E-3"/>
    <m/>
    <s v="COMISION AL 100%"/>
  </r>
  <r>
    <s v="2026/05/31"/>
    <s v="Mayo"/>
    <s v="Kia "/>
    <x v="4"/>
    <x v="14"/>
    <x v="14"/>
    <s v="VITRINA"/>
    <n v="27044755"/>
    <s v="VKM 71256"/>
    <s v="2026-05-21"/>
    <s v="1970-01-01"/>
    <s v="2026-05-26"/>
    <x v="82"/>
    <n v="5"/>
    <s v="2027JA3M45__25G1202"/>
    <x v="6"/>
    <s v="KNAB2512AVT514051"/>
    <n v="53070866"/>
    <n v="1450800"/>
    <n v="46908793"/>
    <n v="67400000"/>
    <s v="12%"/>
    <n v="48726200"/>
    <n v="265354"/>
    <n v="0"/>
    <n v="4.9999937818990935E-3"/>
    <m/>
    <s v="COMISION AL 100%"/>
  </r>
  <r>
    <s v="2026/05/31"/>
    <s v="Mayo"/>
    <s v="Kia "/>
    <x v="4"/>
    <x v="14"/>
    <x v="14"/>
    <s v="VITRINA"/>
    <n v="27072140"/>
    <s v="VKM 71255"/>
    <s v="2026-05-21"/>
    <s v="1970-01-01"/>
    <s v="2026-05-26"/>
    <x v="83"/>
    <n v="5"/>
    <s v="2027JA3M45__25G1202"/>
    <x v="6"/>
    <s v="KNAB2512AVT514052"/>
    <n v="51763780"/>
    <n v="1062800"/>
    <n v="46908793"/>
    <n v="65740000"/>
    <s v="9%"/>
    <n v="0"/>
    <n v="258819"/>
    <n v="258819"/>
    <n v="5.000001931852736E-3"/>
    <m/>
    <s v="COMISION AL 100%"/>
  </r>
  <r>
    <s v="2026/05/31"/>
    <s v="Mayo"/>
    <s v="Kia "/>
    <x v="4"/>
    <x v="14"/>
    <x v="14"/>
    <s v="AUTOFINANCIERA"/>
    <n v="27044934"/>
    <s v="VKM 71224"/>
    <s v="2026-05-07"/>
    <s v="1970-01-01"/>
    <s v="2026-05-26"/>
    <x v="84"/>
    <n v="5"/>
    <s v="2027QY2M35__25G1503"/>
    <x v="7"/>
    <s v="LJD3BA1DAV0093420"/>
    <n v="75669291"/>
    <n v="1831200"/>
    <n v="64953412"/>
    <n v="96100000"/>
    <s v="14%"/>
    <n v="0"/>
    <n v="378346"/>
    <n v="189173"/>
    <n v="4.9999939869926893E-3"/>
    <m/>
    <s v="COMISION AL 50%"/>
  </r>
  <r>
    <s v="2026/05/31"/>
    <s v="Mayo"/>
    <s v="Kia "/>
    <x v="4"/>
    <x v="15"/>
    <x v="15"/>
    <s v="LLAMADA EN LINEA"/>
    <n v="23142380"/>
    <s v="VKM 71179"/>
    <s v="2026-04-16"/>
    <s v="2026-05-11"/>
    <s v="2026-05-08"/>
    <x v="85"/>
    <n v="7"/>
    <s v="2027BL1A40__24G1600"/>
    <x v="16"/>
    <s v="3KPFC41ABVE188704"/>
    <n v="71313386"/>
    <n v="1781000"/>
    <n v="63159842"/>
    <n v="90568000"/>
    <s v="11%"/>
    <n v="0"/>
    <n v="499193.70199999993"/>
    <n v="499193.70199999993"/>
    <n v="6.9999999999999993E-3"/>
    <m/>
    <s v="COMISION AL 100%"/>
  </r>
  <r>
    <s v="2026/05/31"/>
    <s v="Mayo"/>
    <s v="Kia "/>
    <x v="4"/>
    <x v="15"/>
    <x v="15"/>
    <s v="VITRINA"/>
    <n v="27079189"/>
    <s v="VKM 71274"/>
    <s v="2026-05-26"/>
    <s v="1970-01-01"/>
    <s v="2026-05-28"/>
    <x v="86"/>
    <n v="7"/>
    <s v="2027BL1M40__25G1600"/>
    <x v="8"/>
    <s v="3KPFF51AAVE194211"/>
    <n v="64811024"/>
    <n v="1814000"/>
    <n v="58107349"/>
    <n v="82310000"/>
    <s v="10%"/>
    <n v="45570945"/>
    <n v="453677.16799999995"/>
    <n v="0"/>
    <n v="6.9999999999999993E-3"/>
    <m/>
    <s v="COMISION AL 100%"/>
  </r>
  <r>
    <s v="2026/05/31"/>
    <s v="Mayo"/>
    <s v="Kia "/>
    <x v="4"/>
    <x v="15"/>
    <x v="15"/>
    <s v="REFERIDO"/>
    <n v="27059833"/>
    <s v="VKM 71242"/>
    <s v="2026-05-14"/>
    <s v="1970-01-01"/>
    <s v="2026-05-15"/>
    <x v="87"/>
    <n v="7"/>
    <s v="2027BL1A60__25G1601"/>
    <x v="11"/>
    <s v="3KPFF51ABVE180061"/>
    <n v="76346457"/>
    <n v="1781000"/>
    <n v="69655906"/>
    <n v="96960000"/>
    <s v="9%"/>
    <n v="0"/>
    <n v="534425.19899999991"/>
    <n v="534425.19899999991"/>
    <n v="6.9999999999999984E-3"/>
    <m/>
    <s v="COMISION AL 100%"/>
  </r>
  <r>
    <s v="2026/05/31"/>
    <s v="Mayo"/>
    <s v="Kia "/>
    <x v="4"/>
    <x v="15"/>
    <x v="15"/>
    <s v="REFERIDO"/>
    <n v="27085220"/>
    <s v="VKM 71287"/>
    <s v="2026-05-29"/>
    <s v="1970-01-01"/>
    <s v="2026-05-30"/>
    <x v="88"/>
    <n v="7"/>
    <s v="2027BL1A40__25G1600"/>
    <x v="9"/>
    <s v="3KPFF51ABVE196228"/>
    <n v="70866142"/>
    <n v="1814000"/>
    <n v="63159842"/>
    <n v="90000000"/>
    <s v="11%"/>
    <n v="90000000"/>
    <n v="496062.99399999995"/>
    <n v="0"/>
    <n v="6.9999999999999993E-3"/>
    <m/>
    <s v="COMISION AL 100%"/>
  </r>
  <r>
    <s v="2026/05/31"/>
    <s v="Mayo"/>
    <s v="Kia "/>
    <x v="4"/>
    <x v="15"/>
    <x v="15"/>
    <s v="REFERIDO"/>
    <n v="27071611"/>
    <s v="VKM 71254"/>
    <s v="2026-05-21"/>
    <s v="1970-01-01"/>
    <s v="2026-05-29"/>
    <x v="89"/>
    <n v="7"/>
    <s v="2027JA3M45__25G1202"/>
    <x v="6"/>
    <s v="KNAB2512AVT513614"/>
    <n v="52874409"/>
    <n v="712800"/>
    <n v="46908793"/>
    <n v="67150500"/>
    <s v="11%"/>
    <n v="25150500"/>
    <n v="370120.86299999995"/>
    <n v="0"/>
    <n v="6.9999999999999993E-3"/>
    <m/>
    <s v="COMISION AL 100%"/>
  </r>
  <r>
    <s v="2026/05/31"/>
    <s v="Mayo"/>
    <s v="Kia "/>
    <x v="4"/>
    <x v="15"/>
    <x v="15"/>
    <s v="VITRINA"/>
    <n v="27061307"/>
    <s v="VKM 71246"/>
    <s v="2026-05-15"/>
    <s v="2026-05-28"/>
    <s v="2026-05-25"/>
    <x v="90"/>
    <n v="7"/>
    <s v="2027NQ2A65__25H1601"/>
    <x v="18"/>
    <s v="KNAPV81GBV7369759"/>
    <n v="158274336"/>
    <n v="1199600"/>
    <n v="141761947"/>
    <n v="178850000"/>
    <s v="10%"/>
    <n v="0"/>
    <n v="1107920.352"/>
    <n v="1107920.352"/>
    <n v="7.0000000000000001E-3"/>
    <m/>
    <s v="COMISION AL 100%"/>
  </r>
  <r>
    <s v="2026/05/31"/>
    <s v="Mayo"/>
    <s v="Kia "/>
    <x v="4"/>
    <x v="15"/>
    <x v="15"/>
    <s v="EVENTOS"/>
    <n v="27047503"/>
    <s v="VKM 71229"/>
    <s v="2026-05-08"/>
    <s v="1970-01-01"/>
    <s v="2026-05-21"/>
    <x v="91"/>
    <n v="7"/>
    <s v="2027QY2M35__25G1503"/>
    <x v="7"/>
    <s v="LJD3BA1DAV0093416"/>
    <n v="70911024"/>
    <n v="1288200"/>
    <n v="64953412"/>
    <n v="90057000"/>
    <s v="8%"/>
    <n v="0"/>
    <n v="496377.16799999995"/>
    <n v="496377.16799999995"/>
    <n v="6.9999999999999993E-3"/>
    <m/>
    <s v="COMISION AL 100%"/>
  </r>
  <r>
    <s v="2026/05/31"/>
    <s v="Mayo"/>
    <s v="Kia "/>
    <x v="4"/>
    <x v="16"/>
    <x v="16"/>
    <s v="Compraventero"/>
    <n v="27036266"/>
    <s v="VKM 71221"/>
    <s v="2026-05-05"/>
    <s v="2026-05-21"/>
    <s v="2026-05-20"/>
    <x v="92"/>
    <n v="4"/>
    <s v="2027JA3M04T_25G1003"/>
    <x v="21"/>
    <s v="KNAB2511AVT484445"/>
    <n v="62731092"/>
    <n v="4049600"/>
    <n v="51027540"/>
    <n v="74650000"/>
    <s v="19%"/>
    <n v="0"/>
    <n v="313655"/>
    <n v="313655"/>
    <n v="4.9999926671131442E-3"/>
    <m/>
    <s v="COMISION AL 100%"/>
  </r>
  <r>
    <s v="2026/05/31"/>
    <s v="Mayo"/>
    <s v="Kia "/>
    <x v="4"/>
    <x v="16"/>
    <x v="16"/>
    <s v="VITRINA"/>
    <n v="27076030"/>
    <s v="VKM 71265"/>
    <s v="2026-05-23"/>
    <s v="1970-01-01"/>
    <s v="2026-05-30"/>
    <x v="93"/>
    <n v="4"/>
    <s v="2027NQ2A45__25G1601"/>
    <x v="4"/>
    <s v="KNAPV81BBV7510820"/>
    <n v="117559055"/>
    <n v="1131200"/>
    <n v="103457480"/>
    <n v="149300000"/>
    <s v="12%"/>
    <n v="0"/>
    <n v="587795"/>
    <n v="587795"/>
    <n v="4.9999976607501655E-3"/>
    <m/>
    <s v="COMISION AL 100%"/>
  </r>
  <r>
    <s v="2026/05/31"/>
    <s v="Mayo"/>
    <s v="Kia "/>
    <x v="4"/>
    <x v="16"/>
    <x v="16"/>
    <s v="REFERIDO"/>
    <n v="27073791"/>
    <s v="VKM 71263"/>
    <s v="2026-05-22"/>
    <s v="1970-01-01"/>
    <s v="2026-05-29"/>
    <x v="94"/>
    <n v="4"/>
    <s v="2027QY2M35__25G1503"/>
    <x v="7"/>
    <s v="LJD3BA1DAV0091933"/>
    <n v="71968504"/>
    <n v="1131200"/>
    <n v="64953412"/>
    <n v="91400000"/>
    <s v="10%"/>
    <n v="0"/>
    <n v="359843"/>
    <n v="359843"/>
    <n v="5.0000066695842392E-3"/>
    <m/>
    <s v="COMISION AL 100%"/>
  </r>
  <r>
    <s v="2026/05/31"/>
    <s v="Mayo"/>
    <s v="Kia "/>
    <x v="4"/>
    <x v="17"/>
    <x v="17"/>
    <s v="VITRINA"/>
    <n v="27052697"/>
    <s v="VKM 71237"/>
    <s v="2026-05-12"/>
    <s v="2026-05-25"/>
    <s v="2026-05-15"/>
    <x v="95"/>
    <n v="6"/>
    <s v="2027BL1A70__25G1601"/>
    <x v="0"/>
    <s v="3KPFD51ABVE180334"/>
    <n v="82950632"/>
    <n v="1781000"/>
    <n v="77595538"/>
    <n v="105347303"/>
    <s v="6%"/>
    <n v="0"/>
    <n v="580654.42399999988"/>
    <n v="580654.42399999988"/>
    <n v="6.9999999999999984E-3"/>
    <m/>
    <s v="COMISION AL 100%"/>
  </r>
  <r>
    <s v="2026/05/31"/>
    <s v="Mayo"/>
    <s v="Kia "/>
    <x v="4"/>
    <x v="17"/>
    <x v="17"/>
    <s v="VITRINA"/>
    <n v="27050654"/>
    <s v="VKM 71231"/>
    <s v="2026-05-11"/>
    <s v="2026-05-30"/>
    <s v="2026-05-15"/>
    <x v="96"/>
    <n v="6"/>
    <s v="2027BL1A40__25G1600"/>
    <x v="9"/>
    <s v="3KPFF51ABVE180618"/>
    <n v="71080712"/>
    <n v="1981000"/>
    <n v="64603412"/>
    <n v="90272504"/>
    <s v="9%"/>
    <n v="0"/>
    <n v="497564.98399999994"/>
    <n v="497564.98399999994"/>
    <n v="6.9999999999999993E-3"/>
    <m/>
    <s v="COMISION AL 100%"/>
  </r>
  <r>
    <s v="2026/05/31"/>
    <s v="Mayo"/>
    <s v="Kia "/>
    <x v="4"/>
    <x v="17"/>
    <x v="17"/>
    <s v="REFERIDO"/>
    <n v="27078448"/>
    <s v="VKM 71272"/>
    <s v="2026-05-25"/>
    <s v="1970-01-01"/>
    <s v="2026-05-29"/>
    <x v="97"/>
    <n v="6"/>
    <s v="2027JA3M20__25G1002"/>
    <x v="2"/>
    <s v="KNAB2511AVT514512"/>
    <n v="45513546"/>
    <n v="712800"/>
    <n v="41856299"/>
    <n v="57802203"/>
    <s v="8%"/>
    <n v="55294203"/>
    <n v="318594.82199999999"/>
    <n v="0"/>
    <n v="6.9999999999999993E-3"/>
    <m/>
    <s v="COMISION AL 100%"/>
  </r>
  <r>
    <s v="2026/05/31"/>
    <s v="Mayo"/>
    <s v="Kia "/>
    <x v="4"/>
    <x v="17"/>
    <x v="17"/>
    <s v="VITRINA"/>
    <n v="27072234"/>
    <s v="VKM 71251"/>
    <s v="2026-05-21"/>
    <s v="1970-01-01"/>
    <s v="2026-05-29"/>
    <x v="98"/>
    <n v="6"/>
    <s v="2027JA3M45__25G1202"/>
    <x v="6"/>
    <s v="KNAB2512AVT513541"/>
    <n v="52400891"/>
    <n v="1062800"/>
    <n v="46908793"/>
    <n v="66549132"/>
    <s v="10%"/>
    <n v="66549132"/>
    <n v="366806.23699999996"/>
    <n v="0"/>
    <n v="6.9999999999999993E-3"/>
    <m/>
    <s v="COMISION AL 100%"/>
  </r>
  <r>
    <s v="2026/05/31"/>
    <s v="Mayo"/>
    <s v="Kia "/>
    <x v="4"/>
    <x v="17"/>
    <x v="17"/>
    <s v="REFERIDO"/>
    <n v="27068627"/>
    <s v="VKM 71248"/>
    <s v="2026-05-20"/>
    <s v="2026-05-23"/>
    <s v="2026-05-21"/>
    <x v="99"/>
    <n v="6"/>
    <s v="2027NQ2A40__25H1600"/>
    <x v="4"/>
    <s v="KNAPU81GBV7361819"/>
    <n v="134422392"/>
    <n v="1299600"/>
    <n v="127425664"/>
    <n v="151897303"/>
    <s v="5%"/>
    <n v="0"/>
    <n v="940956.74399999995"/>
    <n v="940956.74399999995"/>
    <n v="6.9999999999999993E-3"/>
    <m/>
    <s v="COMISION AL 100%"/>
  </r>
  <r>
    <s v="2026/05/31"/>
    <s v="Mayo"/>
    <s v="Kia "/>
    <x v="4"/>
    <x v="17"/>
    <x v="18"/>
    <s v="EVENTOS"/>
    <n v="26996030"/>
    <s v="VKM 71174"/>
    <s v="2026-04-16"/>
    <s v="1970-01-01"/>
    <s v="2026-05-04"/>
    <x v="100"/>
    <n v="6"/>
    <s v="2027QY2A51__25G1503"/>
    <x v="19"/>
    <s v="LJD3BA1DEV0090370"/>
    <n v="86903096"/>
    <n v="1285600"/>
    <n v="82276247"/>
    <n v="110366932"/>
    <s v="5%"/>
    <n v="0"/>
    <n v="608321.6719999999"/>
    <n v="608321.6719999999"/>
    <n v="6.9999999999999993E-3"/>
    <m/>
    <s v="COMISION AL 100%"/>
  </r>
  <r>
    <s v="2026/05/31"/>
    <s v="Mayo"/>
    <s v="Kia "/>
    <x v="4"/>
    <x v="18"/>
    <x v="19"/>
    <s v="VITRINA"/>
    <n v="27079101"/>
    <s v="VKM 71273"/>
    <s v="2026-05-25"/>
    <s v="1970-01-01"/>
    <s v="2026-05-29"/>
    <x v="101"/>
    <n v="2"/>
    <s v="2027JA3M20__25G1002"/>
    <x v="2"/>
    <s v="KNAB2511AVT514182"/>
    <n v="44653543"/>
    <n v="712800"/>
    <n v="41856299"/>
    <n v="56710000"/>
    <s v="6%"/>
    <n v="0"/>
    <n v="200941"/>
    <n v="200941"/>
    <n v="4.5000012652971341E-3"/>
    <m/>
    <s v="COMISION AL 100%"/>
  </r>
  <r>
    <s v="2026/05/31"/>
    <s v="Mayo"/>
    <s v="Kia "/>
    <x v="4"/>
    <x v="18"/>
    <x v="19"/>
    <s v="PAGINA WEB ARMOTOR"/>
    <n v="27070183"/>
    <s v="VKM 71271"/>
    <s v="2026-05-25"/>
    <s v="1970-01-01"/>
    <s v="2026-05-30"/>
    <x v="102"/>
    <n v="2"/>
    <s v="2027NQ2A40__25H1600"/>
    <x v="4"/>
    <s v="KNAPU81GBV7386509"/>
    <n v="139814159"/>
    <n v="1199600"/>
    <n v="121850442"/>
    <n v="157990000"/>
    <s v="13%"/>
    <n v="154883400"/>
    <n v="629164"/>
    <n v="0"/>
    <n v="4.5000020348439813E-3"/>
    <m/>
    <s v="COMISION AL 100%"/>
  </r>
  <r>
    <s v="2026/05/31"/>
    <s v="Mayo"/>
    <s v="Kia "/>
    <x v="4"/>
    <x v="19"/>
    <x v="20"/>
    <s v="VITRINA"/>
    <n v="27090244"/>
    <s v="VKM 71289"/>
    <s v="2026-05-29"/>
    <s v="1970-01-01"/>
    <s v="2026-05-30"/>
    <x v="103"/>
    <n v="9"/>
    <s v="2027BL1A40__24G1600"/>
    <x v="16"/>
    <s v="3KPFC41ABVE188483"/>
    <n v="66684252"/>
    <n v="1431000"/>
    <n v="63159842"/>
    <n v="84689000"/>
    <s v="5%"/>
    <n v="0"/>
    <n v="566816"/>
    <n v="566816"/>
    <n v="8.499997870561703E-3"/>
    <m/>
    <s v="COMISION AL 100%"/>
  </r>
  <r>
    <s v="2026/05/31"/>
    <s v="Mayo"/>
    <s v="Kia "/>
    <x v="4"/>
    <x v="19"/>
    <x v="20"/>
    <s v="VITRINA"/>
    <n v="27079041"/>
    <s v="VKM 71275"/>
    <s v="2026-05-26"/>
    <s v="1970-01-01"/>
    <s v="2026-05-28"/>
    <x v="104"/>
    <n v="9"/>
    <s v="2027BL1A70__25G1601"/>
    <x v="0"/>
    <s v="3KPFD51ABVE196233"/>
    <n v="83003386"/>
    <n v="1814000"/>
    <n v="76151969"/>
    <n v="105414300"/>
    <s v="8%"/>
    <n v="74057800"/>
    <n v="705529"/>
    <n v="0"/>
    <n v="8.5000026384465816E-3"/>
    <m/>
    <s v="COMISION AL 100%"/>
  </r>
  <r>
    <s v="2026/05/31"/>
    <s v="Mayo"/>
    <s v="Kia "/>
    <x v="4"/>
    <x v="19"/>
    <x v="20"/>
    <s v="VITRINA"/>
    <n v="27087370"/>
    <s v="VKM 71285"/>
    <s v="2026-05-28"/>
    <s v="1970-01-01"/>
    <s v="2026-05-29"/>
    <x v="105"/>
    <n v="9"/>
    <s v="2027BL1M40__25G1600"/>
    <x v="8"/>
    <s v="3KPFF51AAVE194085"/>
    <n v="63452168"/>
    <n v="3920000"/>
    <n v="58107349"/>
    <n v="80584253"/>
    <s v="8%"/>
    <n v="53584253"/>
    <n v="539343"/>
    <n v="0"/>
    <n v="8.4999932547616033E-3"/>
    <m/>
    <s v="COMISION AL 100%"/>
  </r>
  <r>
    <s v="2026/05/31"/>
    <s v="Mayo"/>
    <s v="Kia "/>
    <x v="4"/>
    <x v="19"/>
    <x v="20"/>
    <s v="VITRINA"/>
    <n v="27047223"/>
    <s v="VKM 71239"/>
    <s v="2026-05-13"/>
    <s v="1970-01-01"/>
    <s v="2026-05-26"/>
    <x v="106"/>
    <n v="9"/>
    <s v="2027NQ2A40__25H1600"/>
    <x v="4"/>
    <s v="KNAPU81GBV7366040"/>
    <n v="137211596"/>
    <n v="1199600"/>
    <n v="127425664"/>
    <n v="155049103"/>
    <s v="7%"/>
    <n v="150049103"/>
    <n v="1166299"/>
    <n v="0"/>
    <n v="8.5000031629979735E-3"/>
    <m/>
    <s v="COMISION AL 100%"/>
  </r>
  <r>
    <s v="2026/05/31"/>
    <s v="Mayo"/>
    <s v="Kia "/>
    <x v="4"/>
    <x v="19"/>
    <x v="20"/>
    <s v="VITRINA"/>
    <n v="27015500"/>
    <s v="VKM 71191"/>
    <s v="2026-04-23"/>
    <s v="2026-05-23"/>
    <s v="2026-05-14"/>
    <x v="107"/>
    <n v="9"/>
    <s v="2026NQ2A65__25H1601"/>
    <x v="18"/>
    <s v="KNAPV81GBT7370247"/>
    <n v="150814159"/>
    <n v="1199600"/>
    <n v="135390266"/>
    <n v="170420000"/>
    <s v="10%"/>
    <n v="0"/>
    <n v="1281920"/>
    <n v="1281920"/>
    <n v="8.4999976693169773E-3"/>
    <m/>
    <s v="COMISION AL 100%"/>
  </r>
  <r>
    <s v="2026/05/31"/>
    <s v="Mayo"/>
    <s v="Kia "/>
    <x v="4"/>
    <x v="19"/>
    <x v="20"/>
    <s v="VITRINA"/>
    <n v="27047083"/>
    <s v="VKM 71228"/>
    <s v="2026-05-08"/>
    <s v="1970-01-01"/>
    <s v="2026-05-29"/>
    <x v="108"/>
    <n v="9"/>
    <s v="2027NQ2A65__25H1601"/>
    <x v="18"/>
    <s v="KNAPV81GBV7370098"/>
    <n v="155437168"/>
    <n v="1199600"/>
    <n v="141761947"/>
    <n v="175644000"/>
    <s v="9%"/>
    <n v="0"/>
    <n v="1321216"/>
    <n v="1321216"/>
    <n v="8.5000004632096744E-3"/>
    <m/>
    <s v="COMISION AL 100%"/>
  </r>
  <r>
    <s v="2026/05/31"/>
    <s v="Mayo"/>
    <s v="Kia "/>
    <x v="4"/>
    <x v="19"/>
    <x v="20"/>
    <s v="VITRINA"/>
    <n v="27052037"/>
    <s v="VKM 71234"/>
    <s v="2026-05-12"/>
    <s v="2026-06-03"/>
    <s v="2026-05-28"/>
    <x v="109"/>
    <n v="9"/>
    <s v="2027NQ2A65__25H1601"/>
    <x v="18"/>
    <s v="KNAPV81GBV7370291"/>
    <n v="155929204"/>
    <n v="1199600"/>
    <n v="141761947"/>
    <n v="176200000"/>
    <s v="9%"/>
    <n v="0"/>
    <n v="1325398"/>
    <n v="1325398"/>
    <n v="8.4999984993189594E-3"/>
    <m/>
    <s v="COMISION AL 100%"/>
  </r>
  <r>
    <s v="2026/05/31"/>
    <s v="Mayo"/>
    <s v="Kia "/>
    <x v="4"/>
    <x v="19"/>
    <x v="20"/>
    <s v="AGENCIA PUBLICIDAD"/>
    <n v="27053331"/>
    <s v="VKM 71238"/>
    <s v="2026-05-13"/>
    <s v="2026-06-01"/>
    <s v="2026-05-23"/>
    <x v="110"/>
    <n v="9"/>
    <s v="2027QY2M35__25G1503"/>
    <x v="7"/>
    <s v="LJD3BA1DAV0091930"/>
    <n v="69990790"/>
    <n v="1120200"/>
    <n v="64953412"/>
    <n v="88888303"/>
    <s v="7%"/>
    <n v="0"/>
    <n v="594922"/>
    <n v="297461"/>
    <n v="8.5000040719643254E-3"/>
    <m/>
    <s v="COMISION AL 50%"/>
  </r>
  <r>
    <s v="2026/05/31"/>
    <s v="Mayo"/>
    <s v="Kia "/>
    <x v="4"/>
    <x v="19"/>
    <x v="20"/>
    <s v="VITRINA"/>
    <n v="27046960"/>
    <s v="VKM 71227"/>
    <s v="2026-05-08"/>
    <s v="2026-05-26"/>
    <s v="2026-05-23"/>
    <x v="111"/>
    <n v="9"/>
    <s v="2026QY2A50__25G1500"/>
    <x v="19"/>
    <s v="LJD3BA1DET0086304"/>
    <n v="85689764"/>
    <n v="2624000"/>
    <n v="81554462"/>
    <n v="108826000"/>
    <s v="5%"/>
    <n v="0"/>
    <n v="728363"/>
    <n v="728363"/>
    <n v="8.5000000700200321E-3"/>
    <m/>
    <s v="COMISION AL 100%"/>
  </r>
  <r>
    <s v="2026/05/31"/>
    <s v="Mayo"/>
    <s v="Kia "/>
    <x v="4"/>
    <x v="20"/>
    <x v="21"/>
    <s v="AGENCIA PUBLICIDAD"/>
    <n v="27037134"/>
    <s v="VKM 71219"/>
    <s v="2026-05-04"/>
    <s v="2026-05-15"/>
    <s v="2026-05-11"/>
    <x v="112"/>
    <n v="2"/>
    <s v="2027BL1A70__25G1601"/>
    <x v="0"/>
    <s v="3KPFD51ABVE187278"/>
    <n v="83207087"/>
    <n v="1431000"/>
    <n v="76873753"/>
    <n v="105673000"/>
    <s v="8%"/>
    <n v="0"/>
    <n v="332828"/>
    <n v="332828"/>
    <n v="3.9999958176639445E-3"/>
    <m/>
    <s v="COMISION AL 100%"/>
  </r>
  <r>
    <s v="2026/05/31"/>
    <s v="Mayo"/>
    <s v="Kia "/>
    <x v="4"/>
    <x v="20"/>
    <x v="21"/>
    <s v="AGENCIA PUBLICIDAD"/>
    <n v="27032747"/>
    <s v="VKM 71216"/>
    <s v="2026-04-30"/>
    <s v="2026-05-09"/>
    <s v="2026-05-06"/>
    <x v="113"/>
    <n v="2"/>
    <s v="2027BL1A40__25G1600"/>
    <x v="9"/>
    <s v="3KPFF51ABVE180639"/>
    <n v="68541732"/>
    <n v="1431000"/>
    <n v="64603412"/>
    <n v="87048000"/>
    <s v="6%"/>
    <n v="0"/>
    <n v="274167"/>
    <n v="274167"/>
    <n v="4.0000010504549254E-3"/>
    <m/>
    <s v="COMISION AL 100%"/>
  </r>
  <r>
    <s v="2026/05/31"/>
    <s v="Mayo"/>
    <s v="Kia "/>
    <x v="4"/>
    <x v="21"/>
    <x v="22"/>
    <s v="REFERIDO"/>
    <n v="27073170"/>
    <s v="VKM 71258"/>
    <s v="2026-05-21"/>
    <s v="2026-06-01"/>
    <s v="2026-05-29"/>
    <x v="114"/>
    <n v="9"/>
    <s v="2027BL1A40__24G1600"/>
    <x v="16"/>
    <s v="3KPFC41ABVE187212"/>
    <n v="70070866"/>
    <n v="2236997"/>
    <n v="63159842"/>
    <n v="88990000"/>
    <s v="10%"/>
    <n v="0"/>
    <n v="595602.36100000003"/>
    <n v="595602.36100000003"/>
    <n v="8.5000000000000006E-3"/>
    <m/>
    <s v="COMISION AL 100%"/>
  </r>
  <r>
    <s v="2026/05/31"/>
    <s v="Mayo"/>
    <s v="Kia "/>
    <x v="4"/>
    <x v="21"/>
    <x v="22"/>
    <s v="AUTOFINANCIERA"/>
    <n v="27085241"/>
    <s v="VKM 71280"/>
    <s v="2026-05-27"/>
    <s v="1970-01-01"/>
    <s v="2026-05-30"/>
    <x v="115"/>
    <n v="9"/>
    <s v="2027BL1M40__25G1600"/>
    <x v="8"/>
    <s v="3KPFF51AAVE194259"/>
    <n v="65047087"/>
    <n v="1464000"/>
    <n v="58107349"/>
    <n v="82609800"/>
    <s v="11%"/>
    <n v="82609800"/>
    <n v="552900.23950000003"/>
    <n v="0"/>
    <n v="8.5000000000000006E-3"/>
    <m/>
    <s v="COMISION AL 100%"/>
  </r>
  <r>
    <s v="2026/05/31"/>
    <s v="Mayo"/>
    <s v="Kia "/>
    <x v="4"/>
    <x v="21"/>
    <x v="22"/>
    <s v="REFERIDO"/>
    <n v="27049067"/>
    <s v="VKM 71240"/>
    <s v="2026-05-13"/>
    <s v="2026-05-23"/>
    <s v="2026-05-15"/>
    <x v="116"/>
    <n v="9"/>
    <s v="2027BL1A60__25G1601"/>
    <x v="11"/>
    <s v="3KPFF51ABVE180492"/>
    <n v="76370079"/>
    <n v="1781000"/>
    <n v="69655906"/>
    <n v="96990000"/>
    <s v="9%"/>
    <n v="0"/>
    <n v="649145.67150000005"/>
    <n v="649145.67150000005"/>
    <n v="8.5000000000000006E-3"/>
    <m/>
    <s v="COMISION AL 100%"/>
  </r>
  <r>
    <s v="2026/05/31"/>
    <s v="Mayo"/>
    <s v="Kia "/>
    <x v="4"/>
    <x v="21"/>
    <x v="22"/>
    <s v="REFERIDO"/>
    <n v="27047954"/>
    <s v="VKM 71230"/>
    <s v="2026-05-11"/>
    <s v="2026-05-15"/>
    <s v="2026-05-13"/>
    <x v="117"/>
    <n v="9"/>
    <s v="2027BL1A40__25G1600"/>
    <x v="9"/>
    <s v="3KPFF51ABVE181259"/>
    <n v="70858268"/>
    <n v="1781000"/>
    <n v="64603412"/>
    <n v="89990000"/>
    <s v="9%"/>
    <n v="0"/>
    <n v="602295.27800000005"/>
    <n v="602295.27800000005"/>
    <n v="8.5000000000000006E-3"/>
    <m/>
    <s v="COMISION AL 100%"/>
  </r>
  <r>
    <s v="2026/05/31"/>
    <s v="Mayo"/>
    <s v="Kia "/>
    <x v="4"/>
    <x v="21"/>
    <x v="22"/>
    <s v="REFERIDO"/>
    <n v="27076737"/>
    <s v="VKM 71266"/>
    <s v="2026-05-25"/>
    <s v="1970-01-01"/>
    <s v="2026-05-29"/>
    <x v="118"/>
    <n v="9"/>
    <s v="2027JA3M20__25G1002"/>
    <x v="2"/>
    <s v="KNAB2511AVT514511"/>
    <n v="45970160"/>
    <n v="712800"/>
    <n v="41856299"/>
    <n v="58382103"/>
    <s v="9%"/>
    <n v="0"/>
    <n v="390746.36000000004"/>
    <n v="390746.36000000004"/>
    <n v="8.5000000000000006E-3"/>
    <m/>
    <s v="COMISION AL 100%"/>
  </r>
  <r>
    <s v="2026/05/31"/>
    <s v="Mayo"/>
    <s v="Kia "/>
    <x v="4"/>
    <x v="21"/>
    <x v="22"/>
    <s v="REFERIDO"/>
    <n v="27071521"/>
    <s v="VKM 71250"/>
    <s v="2026-05-21"/>
    <s v="1970-01-01"/>
    <s v="2026-05-29"/>
    <x v="119"/>
    <n v="9"/>
    <s v="2027JA3M45__25G1202"/>
    <x v="6"/>
    <s v="KNAB2512AVT514029"/>
    <n v="52700787"/>
    <n v="1062800"/>
    <n v="46908793"/>
    <n v="66930000"/>
    <s v="11%"/>
    <n v="46930000"/>
    <n v="447956.68950000004"/>
    <n v="0"/>
    <n v="8.5000000000000006E-3"/>
    <m/>
    <s v="COMISION AL 100%"/>
  </r>
  <r>
    <s v="2026/05/31"/>
    <s v="Mayo"/>
    <s v="Kia "/>
    <x v="4"/>
    <x v="21"/>
    <x v="22"/>
    <s v="AUTOFINANCIERA"/>
    <n v="27045122"/>
    <s v="VKM 71233"/>
    <s v="2026-05-11"/>
    <s v="1970-01-01"/>
    <s v="2026-05-29"/>
    <x v="120"/>
    <n v="9"/>
    <s v="2027QY2M35__25G1503"/>
    <x v="7"/>
    <s v="LJD3BA1DAV0092733"/>
    <n v="72275433"/>
    <n v="781200"/>
    <n v="64953412"/>
    <n v="91789800"/>
    <s v="10%"/>
    <n v="0"/>
    <n v="614341.18050000002"/>
    <n v="614341.18050000002"/>
    <n v="8.5000000000000006E-3"/>
    <m/>
    <s v="COMISION AL 100%"/>
  </r>
  <r>
    <s v="2026/05/31"/>
    <s v="Mayo"/>
    <s v="Kia "/>
    <x v="4"/>
    <x v="21"/>
    <x v="23"/>
    <s v="REFERIDO"/>
    <n v="27091876"/>
    <s v="VKM 71291"/>
    <s v="2026-05-30"/>
    <s v="1970-01-01"/>
    <s v="2026-05-04"/>
    <x v="121"/>
    <n v="9"/>
    <s v="2027BL1A40__24G1600"/>
    <x v="16"/>
    <s v="3KPFC41ABVE188710"/>
    <n v="66836302"/>
    <n v="1781000"/>
    <n v="63159842"/>
    <n v="84882104"/>
    <s v="4%"/>
    <n v="0"/>
    <n v="568108.56700000004"/>
    <n v="568108.56700000004"/>
    <n v="8.5000000000000006E-3"/>
    <m/>
    <s v="COMISION AL 100%"/>
  </r>
  <r>
    <s v="2026/05/31"/>
    <s v="Mayo"/>
    <s v="Kia "/>
    <x v="4"/>
    <x v="22"/>
    <x v="24"/>
    <s v="VITRINA"/>
    <n v="27053523"/>
    <s v="VKM 71241"/>
    <s v="2026-05-13"/>
    <s v="2026-05-28"/>
    <s v="2026-05-21"/>
    <x v="122"/>
    <n v="9"/>
    <s v="2027BL1A70__25G1601"/>
    <x v="0"/>
    <s v="3KPFD51ABVE180611"/>
    <n v="83004724"/>
    <n v="1781000"/>
    <n v="77595538"/>
    <n v="105416000"/>
    <s v="7%"/>
    <n v="0"/>
    <n v="705540"/>
    <n v="705540"/>
    <n v="8.4999981446839106E-3"/>
    <m/>
    <s v="COMISION AL 100%"/>
  </r>
  <r>
    <s v="2026/05/31"/>
    <s v="Mayo"/>
    <s v="Kia "/>
    <x v="4"/>
    <x v="22"/>
    <x v="24"/>
    <s v="VITRINA"/>
    <n v="27050483"/>
    <s v="VKM 71232"/>
    <s v="2026-05-11"/>
    <s v="1970-01-01"/>
    <s v="2026-05-29"/>
    <x v="123"/>
    <n v="9"/>
    <s v="2027BL1A70__24G1601"/>
    <x v="1"/>
    <s v="3KPFE41ABVE187388"/>
    <n v="81429134"/>
    <n v="1431000"/>
    <n v="76151969"/>
    <n v="103415000"/>
    <s v="6%"/>
    <n v="0"/>
    <n v="692148"/>
    <n v="692148"/>
    <n v="8.5000044333027047E-3"/>
    <m/>
    <s v="COMISION AL 100%"/>
  </r>
  <r>
    <s v="2026/05/31"/>
    <s v="Mayo"/>
    <s v="Kia "/>
    <x v="4"/>
    <x v="22"/>
    <x v="24"/>
    <s v="VITRINA"/>
    <n v="27083326"/>
    <s v="VKM 71279"/>
    <s v="2026-05-26"/>
    <s v="1970-01-01"/>
    <s v="2026-05-29"/>
    <x v="124"/>
    <n v="9"/>
    <s v="2027BL1M40__25G1600"/>
    <x v="8"/>
    <s v="3KPFF51AAVE194224"/>
    <n v="63495458"/>
    <n v="1464000"/>
    <n v="58107349"/>
    <n v="80639232"/>
    <s v="8%"/>
    <n v="80639232"/>
    <n v="539711"/>
    <n v="0"/>
    <n v="8.4999938105809088E-3"/>
    <m/>
    <s v="COMISION AL 100%"/>
  </r>
  <r>
    <s v="2026/05/31"/>
    <s v="Mayo"/>
    <s v="Kia "/>
    <x v="4"/>
    <x v="22"/>
    <x v="24"/>
    <s v="VITRINA"/>
    <n v="27070314"/>
    <s v="VKM 71249"/>
    <s v="2026-05-21"/>
    <s v="2026-05-27"/>
    <s v="2026-05-26"/>
    <x v="125"/>
    <n v="9"/>
    <s v="2027BL1A40__25G1600"/>
    <x v="9"/>
    <s v="3KPFF51ABVE174629"/>
    <n v="68785278"/>
    <n v="1431000"/>
    <n v="64603412"/>
    <n v="87357303"/>
    <s v="6%"/>
    <n v="0"/>
    <n v="584675"/>
    <n v="584675"/>
    <n v="8.5000019917052597E-3"/>
    <m/>
    <s v="COMISION AL 100%"/>
  </r>
  <r>
    <s v="2026/05/31"/>
    <s v="Mayo"/>
    <s v="Kia "/>
    <x v="4"/>
    <x v="22"/>
    <x v="24"/>
    <s v="REFERIDO"/>
    <n v="27067270"/>
    <s v="VKM 71247"/>
    <s v="2026-05-19"/>
    <s v="2026-05-23"/>
    <s v="2026-05-21"/>
    <x v="126"/>
    <n v="9"/>
    <s v="2027BL1A60__25G1601"/>
    <x v="11"/>
    <s v="3KPFF51ABVE180482"/>
    <n v="74462992"/>
    <n v="1781000"/>
    <n v="69655906"/>
    <n v="94568000"/>
    <s v="6%"/>
    <n v="0"/>
    <n v="632935"/>
    <n v="632935"/>
    <n v="8.4999941984603578E-3"/>
    <m/>
    <s v="COMISION AL 100%"/>
  </r>
  <r>
    <s v="2026/05/31"/>
    <s v="Mayo"/>
    <s v="Kia "/>
    <x v="4"/>
    <x v="22"/>
    <x v="24"/>
    <s v="VITRINA"/>
    <n v="27071700"/>
    <s v="VKM 71252"/>
    <s v="2026-05-21"/>
    <s v="1970-01-01"/>
    <s v="2026-05-29"/>
    <x v="127"/>
    <n v="9"/>
    <s v="2027JA3M20__25G1002"/>
    <x v="2"/>
    <s v="KNAB2511AVT514848"/>
    <n v="44600317"/>
    <n v="712800"/>
    <n v="41856299"/>
    <n v="56642403"/>
    <s v="6%"/>
    <n v="9928703"/>
    <n v="379103"/>
    <n v="0"/>
    <n v="8.5000068497270986E-3"/>
    <m/>
    <s v="COMISION AL 100%"/>
  </r>
  <r>
    <s v="2026/05/31"/>
    <s v="Mayo"/>
    <s v="Kia "/>
    <x v="4"/>
    <x v="22"/>
    <x v="24"/>
    <s v="VITRINA"/>
    <n v="27082483"/>
    <s v="VKM 71278"/>
    <s v="2026-05-26"/>
    <s v="1970-01-01"/>
    <s v="2026-05-29"/>
    <x v="128"/>
    <n v="9"/>
    <s v="2027YB2A40__25H1001"/>
    <x v="3"/>
    <s v="KNAD6817GVT121394"/>
    <n v="85979914"/>
    <n v="735600"/>
    <n v="78761143"/>
    <n v="97157303"/>
    <s v="8%"/>
    <n v="96705303"/>
    <n v="730829"/>
    <n v="0"/>
    <n v="8.4999968713623045E-3"/>
    <m/>
    <s v="COMISION AL 100%"/>
  </r>
  <r>
    <s v="2026/05/31"/>
    <s v="Mayo"/>
    <s v="Kia "/>
    <x v="4"/>
    <x v="22"/>
    <x v="24"/>
    <s v="AGENCIA PUBLICIDAD"/>
    <n v="27050012"/>
    <s v="VKM 71236"/>
    <s v="2026-05-12"/>
    <s v="2026-05-20"/>
    <s v="2026-05-15"/>
    <x v="129"/>
    <n v="9"/>
    <s v="2027YB2A31__25H1000"/>
    <x v="17"/>
    <s v="KNADA817GVT100867"/>
    <n v="81246046"/>
    <n v="714000"/>
    <n v="79564910"/>
    <n v="91808032"/>
    <s v="2%"/>
    <n v="0"/>
    <n v="690591"/>
    <n v="690591"/>
    <n v="8.4999951874581078E-3"/>
    <m/>
    <s v="COMISION AL 100%"/>
  </r>
  <r>
    <s v="2026/05/31"/>
    <s v="Mayo"/>
    <s v="Kia "/>
    <x v="4"/>
    <x v="22"/>
    <x v="24"/>
    <s v="VITRINA"/>
    <n v="27033479"/>
    <s v="VKM 71218"/>
    <s v="2026-04-30"/>
    <s v="2026-05-13"/>
    <s v="2026-05-08"/>
    <x v="130"/>
    <n v="9"/>
    <s v="2027QY2A35__25G1503"/>
    <x v="10"/>
    <s v="LJD3BA1DEV0090555"/>
    <n v="75984252"/>
    <n v="1131200"/>
    <n v="72885608"/>
    <n v="96500000"/>
    <s v="4%"/>
    <n v="0"/>
    <n v="645866"/>
    <n v="645866"/>
    <n v="8.4999981311917102E-3"/>
    <m/>
    <s v="COMISION AL 100%"/>
  </r>
  <r>
    <s v="2026/05/31"/>
    <s v="Mayo"/>
    <s v="Honda "/>
    <x v="5"/>
    <x v="23"/>
    <x v="25"/>
    <s v="AGENCIA PUBLICIDAD"/>
    <n v="27025510"/>
    <s v="VKM 71208"/>
    <s v="2026-04-28"/>
    <s v="2026-05-23"/>
    <s v="2026-05-08"/>
    <x v="131"/>
    <n v="2"/>
    <s v="2026WR-V PRESTIGE"/>
    <x v="14"/>
    <s v="93HDG5840TK502498"/>
    <n v="92047244"/>
    <n v="775000"/>
    <n v="83302756"/>
    <n v="116900000"/>
    <s v="9%"/>
    <n v="0"/>
    <n v="920472"/>
    <n v="920472"/>
    <n v="9.9999952198460175E-3"/>
    <m/>
    <s v="COMISION AL 100%"/>
  </r>
  <r>
    <s v="2026/05/31"/>
    <s v="Mayo"/>
    <s v="Honda "/>
    <x v="5"/>
    <x v="23"/>
    <x v="25"/>
    <s v="REFERIDO"/>
    <n v="27057861"/>
    <s v="VKM 71244"/>
    <s v="2026-05-14"/>
    <s v="2026-05-21"/>
    <s v="2026-05-20"/>
    <x v="132"/>
    <n v="2"/>
    <s v="2026HR-V EXL PRESTIGE 2WD"/>
    <x v="15"/>
    <s v="93HRV3860TK303642"/>
    <n v="97244094"/>
    <n v="425000"/>
    <n v="89495276"/>
    <n v="123500000"/>
    <s v="8%"/>
    <n v="0"/>
    <n v="972441"/>
    <n v="972441"/>
    <n v="1.0000000617004052E-2"/>
    <m/>
    <s v="COMISION AL 100%"/>
  </r>
  <r>
    <s v="2026/05/31"/>
    <s v="Mayo"/>
    <s v="Kia "/>
    <x v="6"/>
    <x v="24"/>
    <x v="26"/>
    <s v="MARCA"/>
    <n v="27049555"/>
    <s v="VKP 91678"/>
    <s v="2026-05-11"/>
    <s v="2026-05-27"/>
    <s v="2026-05-25"/>
    <x v="133"/>
    <n v="8"/>
    <s v="2027BL1M30__24G1600"/>
    <x v="13"/>
    <s v="3KPFC41AAVE187923"/>
    <n v="62984252"/>
    <n v="1431000"/>
    <n v="58107349"/>
    <n v="79990000"/>
    <s v="8%"/>
    <n v="0"/>
    <n v="535366"/>
    <n v="535366"/>
    <n v="8.4999977454681842E-3"/>
    <m/>
    <s v="COMISION AL 100%"/>
  </r>
  <r>
    <s v="2026/05/31"/>
    <s v="Mayo"/>
    <s v="Kia "/>
    <x v="6"/>
    <x v="24"/>
    <x v="26"/>
    <s v="PAGINA WEB ARMOTOR"/>
    <n v="27062146"/>
    <s v="VKP 91746"/>
    <s v="2026-05-25"/>
    <s v="1970-01-01"/>
    <s v="2026-05-28"/>
    <x v="134"/>
    <n v="8"/>
    <s v="2027BL1A60__24G1600"/>
    <x v="5"/>
    <s v="3KPFC41ABVE196981"/>
    <n v="73811024"/>
    <n v="1984000"/>
    <n v="66768767"/>
    <n v="93740000"/>
    <s v="10%"/>
    <n v="84246763"/>
    <n v="627394"/>
    <n v="0"/>
    <n v="8.5000040102410721E-3"/>
    <m/>
    <s v="COMISION AL 100%"/>
  </r>
  <r>
    <s v="2026/05/31"/>
    <s v="Mayo"/>
    <s v="Kia "/>
    <x v="6"/>
    <x v="24"/>
    <x v="26"/>
    <s v="CONVENIOS EMPRESARIALES"/>
    <n v="27087781"/>
    <s v="VKP 91778"/>
    <s v="2026-05-28"/>
    <s v="1970-01-01"/>
    <s v="2026-05-30"/>
    <x v="135"/>
    <n v="8"/>
    <s v="2027BL1A60__24G1600"/>
    <x v="5"/>
    <s v="3KPFC41ABVE197583"/>
    <n v="71596693"/>
    <n v="2114000"/>
    <n v="66768767"/>
    <n v="90927800"/>
    <s v="7%"/>
    <n v="0"/>
    <n v="608572"/>
    <n v="608572"/>
    <n v="8.5000015294002477E-3"/>
    <m/>
    <s v="COMISION AL 100%"/>
  </r>
  <r>
    <s v="2026/05/31"/>
    <s v="Mayo"/>
    <s v="Kia "/>
    <x v="6"/>
    <x v="24"/>
    <x v="26"/>
    <s v="VITRINA"/>
    <n v="27067650"/>
    <s v="VKP 91693"/>
    <s v="2026-05-20"/>
    <s v="1970-01-01"/>
    <s v="2026-05-25"/>
    <x v="136"/>
    <n v="8"/>
    <s v="2027BL1A60__25G1601"/>
    <x v="11"/>
    <s v="3KPFF51ABVE180067"/>
    <n v="73228346"/>
    <n v="1951000"/>
    <n v="69655906"/>
    <n v="92999999"/>
    <s v="5%"/>
    <n v="0"/>
    <n v="622441"/>
    <n v="622441"/>
    <n v="8.5000008056989301E-3"/>
    <m/>
    <s v="COMISION AL 100%"/>
  </r>
  <r>
    <s v="2026/05/31"/>
    <s v="Mayo"/>
    <s v="Kia "/>
    <x v="6"/>
    <x v="24"/>
    <x v="26"/>
    <s v="PAGINA WEB ARMOTOR"/>
    <n v="27064020"/>
    <s v="VKP 91697"/>
    <s v="2026-05-21"/>
    <s v="1970-01-01"/>
    <s v="2026-05-28"/>
    <x v="137"/>
    <n v="8"/>
    <s v="2027JA3M20__25G1002"/>
    <x v="2"/>
    <s v="KNAB2511AVT514419"/>
    <n v="45661417"/>
    <n v="695700"/>
    <n v="41856299"/>
    <n v="57990000"/>
    <s v="8%"/>
    <n v="0"/>
    <n v="388122"/>
    <n v="388122"/>
    <n v="8.4999990254354136E-3"/>
    <m/>
    <s v="COMISION AL 100%"/>
  </r>
  <r>
    <s v="2026/05/31"/>
    <s v="Mayo"/>
    <s v="Kia "/>
    <x v="6"/>
    <x v="24"/>
    <x v="26"/>
    <s v="VITRINA"/>
    <n v="26991895"/>
    <s v="VKP 91696"/>
    <s v="2026-05-21"/>
    <s v="1970-01-01"/>
    <s v="2026-05-28"/>
    <x v="138"/>
    <n v="8"/>
    <s v="2027JA3M20__25G1002"/>
    <x v="2"/>
    <s v="KNAB2511AVT514844"/>
    <n v="45661417"/>
    <n v="695700"/>
    <n v="41856299"/>
    <n v="57990000"/>
    <s v="8%"/>
    <n v="0"/>
    <n v="388122"/>
    <n v="388122"/>
    <n v="8.4999990254354136E-3"/>
    <m/>
    <s v="COMISION AL 100%"/>
  </r>
  <r>
    <s v="2026/05/31"/>
    <s v="Mayo"/>
    <s v="Kia "/>
    <x v="6"/>
    <x v="24"/>
    <x v="26"/>
    <s v="VITRINA"/>
    <n v="27062446"/>
    <s v="VKP 91698"/>
    <s v="2026-05-21"/>
    <s v="1970-01-01"/>
    <s v="2026-05-28"/>
    <x v="139"/>
    <n v="8"/>
    <s v="2027JA3M45__25G1202"/>
    <x v="6"/>
    <s v="KNAB2512AVT513539"/>
    <n v="51763780"/>
    <n v="695700"/>
    <n v="46908793"/>
    <n v="65740001"/>
    <s v="9%"/>
    <n v="0"/>
    <n v="439992"/>
    <n v="439992"/>
    <n v="8.4999974885914438E-3"/>
    <m/>
    <s v="COMISION AL 100%"/>
  </r>
  <r>
    <s v="2026/05/31"/>
    <s v="Mayo"/>
    <s v="Kia "/>
    <x v="6"/>
    <x v="24"/>
    <x v="26"/>
    <s v="PAGINA WEB ARMOTOR"/>
    <n v="27077366"/>
    <s v="VKP 91757"/>
    <s v="2026-05-26"/>
    <s v="1970-01-01"/>
    <s v="2026-05-28"/>
    <x v="140"/>
    <n v="8"/>
    <s v="2027NQ2A40__25H1600"/>
    <x v="4"/>
    <s v="KNAPU81GBV7361592"/>
    <n v="136495575"/>
    <n v="3111300"/>
    <n v="127425664"/>
    <n v="154240000"/>
    <s v="7%"/>
    <n v="85235000"/>
    <n v="1160212"/>
    <n v="0"/>
    <n v="8.4999971610801306E-3"/>
    <m/>
    <s v="COMISION AL 100%"/>
  </r>
  <r>
    <s v="2026/05/31"/>
    <s v="Mayo"/>
    <s v="Kia "/>
    <x v="6"/>
    <x v="25"/>
    <x v="27"/>
    <s v="VITRINA"/>
    <n v="27071658"/>
    <s v="VKP 91780"/>
    <s v="2026-05-29"/>
    <s v="1970-01-01"/>
    <s v="2026-05-29"/>
    <x v="141"/>
    <n v="4"/>
    <s v="2027JA3M20__25G1002"/>
    <x v="2"/>
    <s v="KNAB2511AVT514100"/>
    <n v="45661417"/>
    <n v="695700"/>
    <n v="41856299"/>
    <n v="57990000"/>
    <s v="8%"/>
    <n v="57990000"/>
    <n v="182646"/>
    <n v="0"/>
    <n v="4.0000072709088291E-3"/>
    <m/>
    <s v="COMISION AL 100%"/>
  </r>
  <r>
    <s v="2026/05/31"/>
    <s v="Mayo"/>
    <s v="Kia "/>
    <x v="6"/>
    <x v="25"/>
    <x v="27"/>
    <s v="EVENTOS"/>
    <n v="27050820"/>
    <s v="VKP 91685"/>
    <s v="2026-05-13"/>
    <s v="2026-05-27"/>
    <s v="2026-05-21"/>
    <x v="142"/>
    <n v="4"/>
    <s v="2027YB2A40__25H1001"/>
    <x v="3"/>
    <s v="KNAD6817GVT109607"/>
    <n v="87380531"/>
    <n v="1505600"/>
    <n v="85995047"/>
    <n v="98740000"/>
    <s v="2%"/>
    <n v="0"/>
    <n v="349522"/>
    <n v="349522"/>
    <n v="3.999998580919587E-3"/>
    <m/>
    <s v="COMISION AL 100%"/>
  </r>
  <r>
    <s v="2026/05/31"/>
    <s v="Mayo"/>
    <s v="Kia "/>
    <x v="6"/>
    <x v="25"/>
    <x v="27"/>
    <s v="PAGINA WEB ARMOTOR"/>
    <n v="27048812"/>
    <s v="VKP 91682"/>
    <s v="2026-05-13"/>
    <s v="2026-05-22"/>
    <s v="2026-05-19"/>
    <x v="143"/>
    <n v="4"/>
    <s v="2027NQ2A40__25H1600"/>
    <x v="4"/>
    <s v="KNAPU81GBV7366038"/>
    <n v="136495575"/>
    <n v="1588300"/>
    <n v="127425664"/>
    <n v="154240000"/>
    <s v="7%"/>
    <n v="0"/>
    <n v="545982"/>
    <n v="545982"/>
    <n v="3.9999978021265526E-3"/>
    <m/>
    <s v="COMISION AL 100%"/>
  </r>
  <r>
    <s v="2026/05/31"/>
    <s v="Mayo"/>
    <s v="Kia "/>
    <x v="6"/>
    <x v="25"/>
    <x v="27"/>
    <s v="REFERIDO"/>
    <n v="27084617"/>
    <s v="VKP 91773"/>
    <s v="2026-05-28"/>
    <s v="1970-01-01"/>
    <s v="2026-05-29"/>
    <x v="144"/>
    <n v="4"/>
    <s v="2027NQ2A65__25H1601"/>
    <x v="18"/>
    <s v="KNAPV81GBV7370290"/>
    <n v="154496814"/>
    <n v="849600"/>
    <n v="141761947"/>
    <n v="174581400"/>
    <s v="8%"/>
    <n v="107851000"/>
    <n v="617987"/>
    <n v="0"/>
    <n v="3.9999983430079019E-3"/>
    <m/>
    <s v="COMISION AL 100%"/>
  </r>
  <r>
    <s v="2026/05/31"/>
    <s v="Mayo"/>
    <s v="Kia "/>
    <x v="6"/>
    <x v="16"/>
    <x v="16"/>
    <s v="Compraventero"/>
    <n v="27008485"/>
    <s v="VKP 91616"/>
    <s v="2026-04-20"/>
    <s v="2026-04-29"/>
    <s v="2026-05-04"/>
    <x v="145"/>
    <n v="4"/>
    <s v="2027AB1M23T_24G1404"/>
    <x v="23"/>
    <s v="LJD0AA29AV0387763"/>
    <n v="69411765"/>
    <n v="2084000"/>
    <n v="62752543"/>
    <n v="82600000"/>
    <s v="10%"/>
    <n v="0"/>
    <n v="347059"/>
    <n v="347059"/>
    <n v="5.0000025211864299E-3"/>
    <m/>
    <s v="COMISION AL 100%"/>
  </r>
  <r>
    <s v="2026/05/31"/>
    <s v="Mayo"/>
    <s v="Kia "/>
    <x v="6"/>
    <x v="26"/>
    <x v="28"/>
    <s v="AGENCIA PUBLICIDAD"/>
    <n v="27030498"/>
    <s v="VKP 91660"/>
    <s v="2026-04-29"/>
    <s v="2026-05-22"/>
    <s v="2026-05-05"/>
    <x v="146"/>
    <n v="14"/>
    <s v="2027BL1A60__24G1600"/>
    <x v="5"/>
    <s v="3KPFC41ABVE181165"/>
    <n v="71614488"/>
    <n v="1431000"/>
    <n v="68212336"/>
    <n v="90950400"/>
    <s v="5%"/>
    <n v="0"/>
    <n v="608723"/>
    <n v="608723"/>
    <n v="8.4999979333790672E-3"/>
    <m/>
    <s v="COMISION AL 100%"/>
  </r>
  <r>
    <s v="2026/05/31"/>
    <s v="Mayo"/>
    <s v="Kia "/>
    <x v="6"/>
    <x v="26"/>
    <x v="28"/>
    <s v="REFERIDO"/>
    <n v="27055029"/>
    <s v="VKP 91681"/>
    <s v="2026-05-12"/>
    <s v="2026-05-30"/>
    <s v="2026-05-25"/>
    <x v="147"/>
    <n v="14"/>
    <s v="2027BL1A70__25G1601"/>
    <x v="0"/>
    <s v="3KPFD51ABVE180337"/>
    <n v="82366299"/>
    <n v="1431000"/>
    <n v="77595538"/>
    <n v="104605200"/>
    <s v="6%"/>
    <n v="0"/>
    <n v="700114"/>
    <n v="700114"/>
    <n v="8.5000055665970867E-3"/>
    <m/>
    <s v="COMISION AL 100%"/>
  </r>
  <r>
    <s v="2026/05/31"/>
    <s v="Mayo"/>
    <s v="Kia "/>
    <x v="6"/>
    <x v="26"/>
    <x v="28"/>
    <s v="VITRINA"/>
    <n v="27054451"/>
    <s v="VKP 91744"/>
    <s v="2026-05-25"/>
    <s v="1970-01-01"/>
    <s v="2026-05-28"/>
    <x v="148"/>
    <n v="14"/>
    <s v="2027BL1A70__25G1601"/>
    <x v="0"/>
    <s v="3KPFD51ABVE195737"/>
    <n v="82366299"/>
    <n v="1464000"/>
    <n v="76151969"/>
    <n v="104605200"/>
    <s v="8%"/>
    <n v="0"/>
    <n v="700114"/>
    <n v="700114"/>
    <n v="8.5000055665970867E-3"/>
    <m/>
    <s v="COMISION AL 100%"/>
  </r>
  <r>
    <s v="2026/05/31"/>
    <s v="Mayo"/>
    <s v="Kia "/>
    <x v="6"/>
    <x v="26"/>
    <x v="28"/>
    <s v="VITRINA"/>
    <n v="27062580"/>
    <s v="VKP 91717"/>
    <s v="2026-05-21"/>
    <s v="1970-01-01"/>
    <s v="2026-05-26"/>
    <x v="149"/>
    <n v="14"/>
    <s v="2027BL1A70__24G1601"/>
    <x v="1"/>
    <s v="3KPFE41ABVE180921"/>
    <n v="83259843"/>
    <n v="1431000"/>
    <n v="76873753"/>
    <n v="105740001"/>
    <s v="8%"/>
    <n v="0"/>
    <n v="707709"/>
    <n v="707709"/>
    <n v="8.5000040175430072E-3"/>
    <m/>
    <s v="COMISION AL 100%"/>
  </r>
  <r>
    <s v="2026/05/31"/>
    <s v="Mayo"/>
    <s v="Kia "/>
    <x v="6"/>
    <x v="26"/>
    <x v="28"/>
    <s v="AGENCIA PUBLICIDAD"/>
    <n v="27066842"/>
    <s v="VKP 91692"/>
    <s v="2026-05-20"/>
    <s v="1970-01-01"/>
    <s v="2026-05-28"/>
    <x v="150"/>
    <n v="14"/>
    <s v="2027BL1A40__25G1600"/>
    <x v="9"/>
    <s v="3KPFF51ABVE181211"/>
    <n v="68127165"/>
    <n v="1431000"/>
    <n v="64603412"/>
    <n v="86521500"/>
    <s v="5%"/>
    <n v="0"/>
    <n v="579081"/>
    <n v="579081"/>
    <n v="8.5000014311471788E-3"/>
    <m/>
    <s v="COMISION AL 100%"/>
  </r>
  <r>
    <s v="2026/05/31"/>
    <s v="Mayo"/>
    <s v="Kia "/>
    <x v="6"/>
    <x v="26"/>
    <x v="28"/>
    <s v="VITRINA"/>
    <n v="27074207"/>
    <s v="VKP 91740"/>
    <s v="2026-05-25"/>
    <s v="1970-01-01"/>
    <s v="2026-05-29"/>
    <x v="151"/>
    <n v="14"/>
    <s v="2027JA3M20__25G1002"/>
    <x v="2"/>
    <s v="KNAB2511AVT514139"/>
    <n v="45661417"/>
    <n v="695700"/>
    <n v="41856299"/>
    <n v="57990000"/>
    <s v="8%"/>
    <n v="57990000"/>
    <n v="388122"/>
    <n v="0"/>
    <n v="8.4999990254354136E-3"/>
    <m/>
    <s v="COMISION AL 100%"/>
  </r>
  <r>
    <s v="2026/05/31"/>
    <s v="Mayo"/>
    <s v="Kia "/>
    <x v="6"/>
    <x v="26"/>
    <x v="28"/>
    <s v="MARCA"/>
    <n v="23151357"/>
    <s v="VKP 91733"/>
    <s v="2026-05-25"/>
    <s v="1970-01-01"/>
    <s v="2026-05-28"/>
    <x v="152"/>
    <n v="14"/>
    <s v="2027JA3M20__25G1002"/>
    <x v="2"/>
    <s v="KNAB2511AVT514515"/>
    <n v="45661417"/>
    <n v="695700"/>
    <n v="41856299"/>
    <n v="57990000"/>
    <s v="8%"/>
    <n v="0"/>
    <n v="388122"/>
    <n v="388122"/>
    <n v="8.4999990254354136E-3"/>
    <m/>
    <s v="COMISION AL 100%"/>
  </r>
  <r>
    <s v="2026/05/31"/>
    <s v="Mayo"/>
    <s v="Kia "/>
    <x v="6"/>
    <x v="26"/>
    <x v="28"/>
    <s v="AGENCIA PUBLICIDAD"/>
    <n v="27015092"/>
    <s v="VKP 91731"/>
    <s v="2026-05-23"/>
    <s v="1970-01-01"/>
    <s v="2026-05-28"/>
    <x v="153"/>
    <n v="14"/>
    <s v="2027JA3M20__25G1002"/>
    <x v="2"/>
    <s v="KNAB2511AVT514566"/>
    <n v="45661417"/>
    <n v="695700"/>
    <n v="41856299"/>
    <n v="57990000"/>
    <s v="8%"/>
    <n v="0"/>
    <n v="388122"/>
    <n v="388122"/>
    <n v="8.4999990254354136E-3"/>
    <m/>
    <s v="COMISION AL 100%"/>
  </r>
  <r>
    <s v="2026/05/31"/>
    <s v="Mayo"/>
    <s v="Kia "/>
    <x v="6"/>
    <x v="26"/>
    <x v="28"/>
    <s v="VITRINA"/>
    <n v="27034525"/>
    <s v="VKP 91707"/>
    <s v="2026-05-21"/>
    <s v="1970-01-01"/>
    <s v="2026-05-28"/>
    <x v="154"/>
    <n v="14"/>
    <s v="2027JA3M45__25G1202"/>
    <x v="6"/>
    <s v="KNAB2512AVT513538"/>
    <n v="51763780"/>
    <n v="695700"/>
    <n v="46908793"/>
    <n v="65740001"/>
    <s v="9%"/>
    <n v="0"/>
    <n v="439992"/>
    <n v="439992"/>
    <n v="8.4999974885914438E-3"/>
    <m/>
    <s v="COMISION AL 100%"/>
  </r>
  <r>
    <s v="2026/05/31"/>
    <s v="Mayo"/>
    <s v="Kia "/>
    <x v="6"/>
    <x v="26"/>
    <x v="28"/>
    <s v="REFERIDO"/>
    <n v="26997800"/>
    <s v="VKP 91706"/>
    <s v="2026-05-21"/>
    <s v="1970-01-01"/>
    <s v="2026-05-28"/>
    <x v="155"/>
    <n v="14"/>
    <s v="2027JA3M45__25G1202"/>
    <x v="6"/>
    <s v="KNAB2512AVT513956"/>
    <n v="51763780"/>
    <n v="695700"/>
    <n v="46908793"/>
    <n v="65740001"/>
    <s v="9%"/>
    <n v="0"/>
    <n v="439992"/>
    <n v="439992"/>
    <n v="8.4999974885914438E-3"/>
    <m/>
    <s v="COMISION AL 100%"/>
  </r>
  <r>
    <s v="2026/05/31"/>
    <s v="Mayo"/>
    <s v="Kia "/>
    <x v="6"/>
    <x v="26"/>
    <x v="28"/>
    <s v="VITRINA"/>
    <n v="27045388"/>
    <s v="VKP 91719"/>
    <s v="2026-05-21"/>
    <s v="1970-01-01"/>
    <s v="2026-05-28"/>
    <x v="156"/>
    <n v="14"/>
    <s v="2027JA3M45__25G1202"/>
    <x v="6"/>
    <s v="KNAB2512AVT513957"/>
    <n v="51763780"/>
    <n v="695700"/>
    <n v="46908793"/>
    <n v="65740001"/>
    <s v="9%"/>
    <n v="56926348"/>
    <n v="439992"/>
    <n v="0"/>
    <n v="8.4999974885914438E-3"/>
    <m/>
    <s v="COMISION AL 100%"/>
  </r>
  <r>
    <s v="2026/05/31"/>
    <s v="Mayo"/>
    <s v="Kia "/>
    <x v="6"/>
    <x v="26"/>
    <x v="28"/>
    <s v="AGENCIA PUBLICIDAD"/>
    <n v="27064008"/>
    <s v="VKP 91695"/>
    <s v="2026-05-20"/>
    <s v="2026-05-29"/>
    <s v="2026-05-27"/>
    <x v="157"/>
    <n v="14"/>
    <s v="2027NQ2A40__25H1600"/>
    <x v="4"/>
    <s v="KNAPU81GBV7372352"/>
    <n v="132400708"/>
    <n v="798300"/>
    <n v="127425664"/>
    <n v="149612800"/>
    <s v="4%"/>
    <n v="0"/>
    <n v="1125406"/>
    <n v="1125406"/>
    <n v="8.4999998640490661E-3"/>
    <m/>
    <s v="COMISION AL 100%"/>
  </r>
  <r>
    <s v="2026/05/31"/>
    <s v="Mayo"/>
    <s v="Kia "/>
    <x v="6"/>
    <x v="26"/>
    <x v="28"/>
    <s v="REFERIDO"/>
    <n v="27074637"/>
    <s v="VKP 91732"/>
    <s v="2026-05-23"/>
    <s v="2026-05-29"/>
    <s v="2026-05-29"/>
    <x v="158"/>
    <n v="14"/>
    <s v="2027NQ2A65__25H1601"/>
    <x v="18"/>
    <s v="KNAPV81GBV7370412"/>
    <n v="152144071"/>
    <n v="1048300"/>
    <n v="141761947"/>
    <n v="171922800"/>
    <s v="7%"/>
    <n v="151978300"/>
    <n v="1293225"/>
    <n v="0"/>
    <n v="8.5000026060824945E-3"/>
    <m/>
    <s v="COMISION AL 100%"/>
  </r>
  <r>
    <s v="2026/05/31"/>
    <s v="Mayo"/>
    <s v="Kia "/>
    <x v="6"/>
    <x v="26"/>
    <x v="28"/>
    <s v="REFERIDO"/>
    <n v="27030545"/>
    <s v="VKP 91662"/>
    <s v="2026-04-29"/>
    <s v="2026-05-22"/>
    <s v="2026-05-11"/>
    <x v="159"/>
    <n v="14"/>
    <s v="2026QY2A50__25G1500"/>
    <x v="19"/>
    <s v="LJD3BA1DET0086332"/>
    <n v="86082795"/>
    <n v="1874000"/>
    <n v="81554462"/>
    <n v="109325150"/>
    <s v="5%"/>
    <n v="0"/>
    <n v="731704"/>
    <n v="731704"/>
    <n v="8.5000028170553708E-3"/>
    <m/>
    <s v="COMISION AL 100%"/>
  </r>
  <r>
    <s v="2026/05/31"/>
    <s v="Mayo"/>
    <s v="Kia "/>
    <x v="6"/>
    <x v="27"/>
    <x v="29"/>
    <s v="VITRINA"/>
    <n v="27071400"/>
    <s v="VKP 91724"/>
    <s v="2026-05-22"/>
    <s v="1970-01-01"/>
    <s v="2026-05-29"/>
    <x v="160"/>
    <n v="5"/>
    <s v="2027JA3M45__25G1202"/>
    <x v="6"/>
    <s v="KNAB2512AVT513632"/>
    <n v="51763780"/>
    <n v="695700"/>
    <n v="46908793"/>
    <n v="65740001"/>
    <s v="9%"/>
    <n v="27404498"/>
    <n v="258818.9"/>
    <n v="0"/>
    <n v="5.0000000000000001E-3"/>
    <m/>
    <s v="COMISION AL 100%"/>
  </r>
  <r>
    <s v="2026/05/31"/>
    <s v="Mayo"/>
    <s v="Kia "/>
    <x v="6"/>
    <x v="27"/>
    <x v="29"/>
    <s v="VITRINA"/>
    <n v="27037746"/>
    <s v="VKP 91667"/>
    <s v="2026-05-05"/>
    <s v="2026-06-28"/>
    <s v="2026-05-27"/>
    <x v="161"/>
    <n v="5"/>
    <s v="2027SG1A62__25H1600"/>
    <x v="12"/>
    <s v="KNACR81EGV5362868"/>
    <n v="127245664"/>
    <n v="712800"/>
    <n v="117868142"/>
    <n v="143787600"/>
    <s v="7%"/>
    <n v="0"/>
    <n v="636228.32000000007"/>
    <n v="636228.32000000007"/>
    <n v="5.0000000000000001E-3"/>
    <m/>
    <s v="COMISION AL 100%"/>
  </r>
  <r>
    <s v="2026/05/31"/>
    <s v="Mayo"/>
    <s v="Kia "/>
    <x v="6"/>
    <x v="27"/>
    <x v="29"/>
    <s v="VITRINA"/>
    <n v="27042975"/>
    <s v="VKP 91683"/>
    <s v="2026-05-13"/>
    <s v="1970-01-01"/>
    <s v="2026-05-22"/>
    <x v="162"/>
    <n v="5"/>
    <s v="2027YB2M30__25H1001"/>
    <x v="24"/>
    <s v="KNADA817AVT104349"/>
    <n v="76982301"/>
    <n v="735600"/>
    <n v="73938540"/>
    <n v="86990000"/>
    <s v="4%"/>
    <n v="0"/>
    <n v="384911.505"/>
    <n v="384911.505"/>
    <n v="5.0000000000000001E-3"/>
    <m/>
    <s v="COMISION AL 100%"/>
  </r>
  <r>
    <s v="2026/05/31"/>
    <s v="Mayo"/>
    <s v="Kia "/>
    <x v="6"/>
    <x v="27"/>
    <x v="29"/>
    <s v="VITRINA"/>
    <n v="27074737"/>
    <s v="VKP 91751"/>
    <s v="2026-05-25"/>
    <s v="1970-01-01"/>
    <s v="2026-05-29"/>
    <x v="163"/>
    <n v="5"/>
    <s v="2027NQ2A40__25H1600"/>
    <x v="4"/>
    <s v="KNAPU81GBV7372351"/>
    <n v="136495575"/>
    <n v="3111900"/>
    <n v="127425664"/>
    <n v="154240000"/>
    <s v="7%"/>
    <n v="91282200"/>
    <n v="682477.875"/>
    <n v="0"/>
    <n v="5.0000000000000001E-3"/>
    <m/>
    <s v="COMISION AL 100%"/>
  </r>
  <r>
    <s v="2026/05/31"/>
    <s v="Mayo"/>
    <s v="Kia "/>
    <x v="6"/>
    <x v="27"/>
    <x v="29"/>
    <s v="VITRINA"/>
    <n v="27045357"/>
    <s v="VKP 91674"/>
    <s v="2026-05-11"/>
    <s v="2026-05-27"/>
    <s v="2026-05-20"/>
    <x v="164"/>
    <n v="5"/>
    <s v="2027NQ2A65__25H1601"/>
    <x v="18"/>
    <s v="KNAPV81GBV7368722"/>
    <n v="154496814"/>
    <n v="798300"/>
    <n v="141761947"/>
    <n v="174581400"/>
    <s v="8%"/>
    <n v="0"/>
    <n v="772484.07000000007"/>
    <n v="772484.07000000007"/>
    <n v="5.0000000000000001E-3"/>
    <m/>
    <s v="COMISION AL 100%"/>
  </r>
  <r>
    <s v="2026/05/31"/>
    <s v="Mayo"/>
    <s v="Kia "/>
    <x v="6"/>
    <x v="28"/>
    <x v="30"/>
    <s v="VITRINA"/>
    <n v="27047973"/>
    <s v="VKP 91742"/>
    <s v="2026-05-25"/>
    <s v="1970-01-01"/>
    <s v="2026-05-29"/>
    <x v="165"/>
    <n v="12"/>
    <s v="2027BL1M30__24G1600"/>
    <x v="13"/>
    <s v="3KPFC41AAVE196847"/>
    <n v="61724567"/>
    <n v="1464000"/>
    <n v="57385564"/>
    <n v="78390200"/>
    <s v="7%"/>
    <n v="70556647"/>
    <n v="524659"/>
    <n v="0"/>
    <n v="8.5000029242813489E-3"/>
    <m/>
    <s v="COMISION AL 100%"/>
  </r>
  <r>
    <s v="2026/05/31"/>
    <s v="Mayo"/>
    <s v="Kia "/>
    <x v="6"/>
    <x v="28"/>
    <x v="30"/>
    <s v="AGENCIA PUBLICIDAD"/>
    <n v="27038187"/>
    <s v="VKP 91669"/>
    <s v="2026-05-06"/>
    <s v="2026-05-22"/>
    <s v="2026-05-11"/>
    <x v="166"/>
    <n v="12"/>
    <s v="2026BL1A70__25G1601"/>
    <x v="0"/>
    <s v="3KPFD51ABTE162626"/>
    <n v="79929449"/>
    <n v="1604000"/>
    <n v="76873753"/>
    <n v="101510400"/>
    <s v="4%"/>
    <n v="0"/>
    <n v="679400"/>
    <n v="339700"/>
    <n v="8.4999960402579525E-3"/>
    <m/>
    <s v="COMISION AL 50%"/>
  </r>
  <r>
    <s v="2026/05/31"/>
    <s v="Mayo"/>
    <s v="Kia "/>
    <x v="6"/>
    <x v="28"/>
    <x v="30"/>
    <s v="VITRINA"/>
    <n v="27042226"/>
    <s v="VKP 91670"/>
    <s v="2026-05-07"/>
    <s v="2026-05-21"/>
    <s v="2026-05-13"/>
    <x v="167"/>
    <n v="12"/>
    <s v="2027BL1A70__25G1601"/>
    <x v="0"/>
    <s v="3KPFD51ABVE180341"/>
    <n v="82366299"/>
    <n v="1431000"/>
    <n v="77595538"/>
    <n v="104605200"/>
    <s v="6%"/>
    <n v="0"/>
    <n v="700114"/>
    <n v="700114"/>
    <n v="8.5000055665970867E-3"/>
    <m/>
    <s v="COMISION AL 100%"/>
  </r>
  <r>
    <s v="2026/05/31"/>
    <s v="Mayo"/>
    <s v="Kia "/>
    <x v="6"/>
    <x v="28"/>
    <x v="30"/>
    <s v="VITRINA"/>
    <n v="27022457"/>
    <s v="VKP 91648"/>
    <s v="2026-04-28"/>
    <s v="2026-05-26"/>
    <s v="2026-05-19"/>
    <x v="168"/>
    <n v="12"/>
    <s v="2027BL1A70__25G1601"/>
    <x v="0"/>
    <s v="3KPFD51ABVE180622"/>
    <n v="83137953"/>
    <n v="1431000"/>
    <n v="77595538"/>
    <n v="105585200"/>
    <s v="7%"/>
    <n v="0"/>
    <n v="706673"/>
    <n v="706673"/>
    <n v="8.500004805266255E-3"/>
    <m/>
    <s v="COMISION AL 100%"/>
  </r>
  <r>
    <s v="2026/05/31"/>
    <s v="Mayo"/>
    <s v="Kia "/>
    <x v="6"/>
    <x v="28"/>
    <x v="30"/>
    <s v="FERIA AUTOMOTRIZ"/>
    <n v="27067648"/>
    <s v="VKP 91737"/>
    <s v="2026-05-25"/>
    <s v="1970-01-01"/>
    <s v="2026-05-28"/>
    <x v="169"/>
    <n v="12"/>
    <s v="2027BL1A70__25G1601"/>
    <x v="0"/>
    <s v="3KPFD51ABVE187333"/>
    <n v="82366299"/>
    <n v="1431000"/>
    <n v="76873753"/>
    <n v="104605200"/>
    <s v="7%"/>
    <n v="0"/>
    <n v="700114"/>
    <n v="700114"/>
    <n v="8.5000055665970867E-3"/>
    <m/>
    <s v="COMISION AL 100%"/>
  </r>
  <r>
    <s v="2026/05/31"/>
    <s v="Mayo"/>
    <s v="Kia "/>
    <x v="6"/>
    <x v="28"/>
    <x v="30"/>
    <s v="VITRINA"/>
    <n v="27079465"/>
    <s v="VKP 91775"/>
    <s v="2026-05-28"/>
    <s v="1970-01-01"/>
    <s v="2026-05-29"/>
    <x v="170"/>
    <n v="12"/>
    <s v="2027BL1M40__25G1600"/>
    <x v="8"/>
    <s v="3KPFF51AAVE180886"/>
    <n v="62496220"/>
    <n v="1431000"/>
    <n v="59550918"/>
    <n v="79370199"/>
    <s v="5%"/>
    <n v="42727996"/>
    <n v="531218"/>
    <n v="0"/>
    <n v="8.5000020801258066E-3"/>
    <m/>
    <s v="COMISION AL 100%"/>
  </r>
  <r>
    <s v="2026/05/31"/>
    <s v="Mayo"/>
    <s v="Kia "/>
    <x v="6"/>
    <x v="28"/>
    <x v="30"/>
    <s v="VITRINA"/>
    <n v="27071681"/>
    <s v="VKP 91750"/>
    <s v="2026-05-25"/>
    <s v="1970-01-01"/>
    <s v="2026-05-28"/>
    <x v="171"/>
    <n v="12"/>
    <s v="2027BL1M40__25G1600"/>
    <x v="8"/>
    <s v="3KPFF51AAVE194233"/>
    <n v="61858504"/>
    <n v="1464000"/>
    <n v="58107349"/>
    <n v="78560300"/>
    <s v="6%"/>
    <n v="1380947"/>
    <n v="525797"/>
    <n v="0"/>
    <n v="8.4999954088770067E-3"/>
    <m/>
    <s v="COMISION AL 100%"/>
  </r>
  <r>
    <s v="2026/05/31"/>
    <s v="Mayo"/>
    <s v="Kia "/>
    <x v="6"/>
    <x v="28"/>
    <x v="30"/>
    <s v="VITRINA"/>
    <n v="27075475"/>
    <s v="VKP 91738"/>
    <s v="2026-05-25"/>
    <s v="1970-01-01"/>
    <s v="2026-05-28"/>
    <x v="172"/>
    <n v="12"/>
    <s v="2027JA3M20__25G1002"/>
    <x v="2"/>
    <s v="KNAB2511AVT514183"/>
    <n v="45661417"/>
    <n v="695700"/>
    <n v="41856299"/>
    <n v="57990000"/>
    <s v="8%"/>
    <n v="0"/>
    <n v="388122"/>
    <n v="388122"/>
    <n v="8.4999990254354136E-3"/>
    <m/>
    <s v="COMISION AL 100%"/>
  </r>
  <r>
    <s v="2026/05/31"/>
    <s v="Mayo"/>
    <s v="Kia "/>
    <x v="6"/>
    <x v="28"/>
    <x v="30"/>
    <s v="VITRINA"/>
    <n v="27061363"/>
    <s v="VKP 91759"/>
    <s v="2026-05-26"/>
    <s v="1970-01-01"/>
    <s v="2026-05-29"/>
    <x v="173"/>
    <n v="12"/>
    <s v="2027JA3M20__25G1002"/>
    <x v="2"/>
    <s v="KNAB2511AVT514504"/>
    <n v="45661417"/>
    <n v="695700"/>
    <n v="41856299"/>
    <n v="57990000"/>
    <s v="8%"/>
    <n v="57990000"/>
    <n v="388122"/>
    <n v="0"/>
    <n v="8.4999990254354136E-3"/>
    <m/>
    <s v="COMISION AL 100%"/>
  </r>
  <r>
    <s v="2026/05/31"/>
    <s v="Mayo"/>
    <s v="Kia "/>
    <x v="6"/>
    <x v="28"/>
    <x v="30"/>
    <s v="AGENCIA PUBLICIDAD"/>
    <n v="26977802"/>
    <s v="VKP 91713"/>
    <s v="2026-05-21"/>
    <s v="1970-01-01"/>
    <s v="2026-05-28"/>
    <x v="174"/>
    <n v="12"/>
    <s v="2027JA3M20__25G1002"/>
    <x v="2"/>
    <s v="KNAB2511AVT514845"/>
    <n v="45661417"/>
    <n v="695700"/>
    <n v="41856299"/>
    <n v="57990000"/>
    <s v="8%"/>
    <n v="57990000"/>
    <n v="388122"/>
    <n v="0"/>
    <n v="8.4999990254354136E-3"/>
    <m/>
    <s v="COMISION AL 100%"/>
  </r>
  <r>
    <s v="2026/05/31"/>
    <s v="Mayo"/>
    <s v="Kia "/>
    <x v="6"/>
    <x v="28"/>
    <x v="30"/>
    <s v="FERIA AUTOMOTRIZ"/>
    <n v="27050482"/>
    <s v="VKP 91679"/>
    <s v="2026-05-12"/>
    <s v="1970-01-01"/>
    <s v="2026-05-29"/>
    <x v="175"/>
    <n v="12"/>
    <s v="2027QY2M35__25G1503"/>
    <x v="7"/>
    <s v="LJD3BA1DAV0092743"/>
    <n v="71420168"/>
    <n v="735600"/>
    <n v="64953412"/>
    <n v="84990000"/>
    <s v="9%"/>
    <n v="0"/>
    <n v="607071"/>
    <n v="607071"/>
    <n v="8.4999940072949705E-3"/>
    <m/>
    <s v="COMISION AL 100%"/>
  </r>
  <r>
    <s v="2026/05/31"/>
    <s v="Mayo"/>
    <s v="Kia "/>
    <x v="6"/>
    <x v="28"/>
    <x v="30"/>
    <s v="FERIA AUTOMOTRIZ"/>
    <n v="27025984"/>
    <s v="VKP 91743"/>
    <s v="2026-05-25"/>
    <s v="1970-01-01"/>
    <s v="2026-05-28"/>
    <x v="176"/>
    <n v="12"/>
    <s v="2027QY2M35__25G1503"/>
    <x v="7"/>
    <s v="LJD3BA1DAV0093426"/>
    <n v="70149685"/>
    <n v="781200"/>
    <n v="64953412"/>
    <n v="89090100"/>
    <s v="7%"/>
    <n v="0"/>
    <n v="596272"/>
    <n v="596272"/>
    <n v="8.4999954026878377E-3"/>
    <m/>
    <s v="COMISION AL 100%"/>
  </r>
  <r>
    <s v="2026/05/31"/>
    <s v="Mayo"/>
    <s v="Kia "/>
    <x v="6"/>
    <x v="29"/>
    <x v="31"/>
    <s v="MARCA"/>
    <n v="26974397"/>
    <s v="VKP 91577"/>
    <s v="2026-03-31"/>
    <s v="2026-05-26"/>
    <s v="2026-05-20"/>
    <x v="177"/>
    <n v="11"/>
    <s v="2027BL1M30__24G1600"/>
    <x v="13"/>
    <s v="3KPFC41AAVE180665"/>
    <n v="63771654"/>
    <n v="1431000"/>
    <n v="58829134"/>
    <n v="80990001"/>
    <s v="8%"/>
    <n v="0"/>
    <n v="542059"/>
    <n v="542059"/>
    <n v="8.4999990748240595E-3"/>
    <m/>
    <s v="COMISION AL 100%"/>
  </r>
  <r>
    <s v="2026/05/31"/>
    <s v="Mayo"/>
    <s v="Kia "/>
    <x v="6"/>
    <x v="29"/>
    <x v="31"/>
    <s v="PLAYA DE VENTAS"/>
    <n v="27080525"/>
    <s v="VKP 91765"/>
    <s v="2026-05-27"/>
    <s v="1970-01-01"/>
    <s v="2026-05-29"/>
    <x v="178"/>
    <n v="11"/>
    <s v="2027BL1A70__25G1601"/>
    <x v="0"/>
    <s v="3KPFD51ABVE196132"/>
    <n v="82366299"/>
    <n v="1464000"/>
    <n v="76151969"/>
    <n v="104605200"/>
    <s v="8%"/>
    <n v="74209607"/>
    <n v="700114"/>
    <n v="0"/>
    <n v="8.5000055665970867E-3"/>
    <m/>
    <s v="COMISION AL 100%"/>
  </r>
  <r>
    <s v="2026/05/31"/>
    <s v="Mayo"/>
    <s v="Kia "/>
    <x v="6"/>
    <x v="29"/>
    <x v="31"/>
    <s v="REFERIDO"/>
    <n v="27081870"/>
    <s v="VKP 91766"/>
    <s v="2026-05-27"/>
    <s v="1970-01-01"/>
    <s v="2026-05-29"/>
    <x v="179"/>
    <n v="11"/>
    <s v="2027BL1A40__25G1600"/>
    <x v="9"/>
    <s v="3KPFF51ABVE166069"/>
    <n v="68476535"/>
    <n v="1774000"/>
    <n v="64603412"/>
    <n v="86965199"/>
    <s v="6%"/>
    <n v="0"/>
    <n v="582051"/>
    <n v="582051"/>
    <n v="8.5000066081030532E-3"/>
    <m/>
    <s v="COMISION AL 100%"/>
  </r>
  <r>
    <s v="2026/05/31"/>
    <s v="Mayo"/>
    <s v="Kia "/>
    <x v="6"/>
    <x v="29"/>
    <x v="31"/>
    <s v="VITRINA"/>
    <n v="27049127"/>
    <s v="VKP 91677"/>
    <s v="2026-05-11"/>
    <s v="2026-05-28"/>
    <s v="2026-05-21"/>
    <x v="180"/>
    <n v="11"/>
    <s v="2027BL1A60__25G1601"/>
    <x v="11"/>
    <s v="3KPFF51ABVE176913"/>
    <n v="73878110"/>
    <n v="1431000"/>
    <n v="69655906"/>
    <n v="93825200"/>
    <s v="6%"/>
    <n v="0"/>
    <n v="627964"/>
    <n v="627964"/>
    <n v="8.5000008798275968E-3"/>
    <m/>
    <s v="COMISION AL 100%"/>
  </r>
  <r>
    <s v="2026/05/31"/>
    <s v="Mayo"/>
    <s v="Kia "/>
    <x v="6"/>
    <x v="29"/>
    <x v="31"/>
    <s v="PLAYA DE VENTAS"/>
    <n v="27058700"/>
    <s v="VKP 91691"/>
    <s v="2026-05-20"/>
    <s v="1970-01-01"/>
    <s v="2026-05-28"/>
    <x v="181"/>
    <n v="11"/>
    <s v="2027BL1A60__25G1601"/>
    <x v="11"/>
    <s v="3KPFF51ABVE180065"/>
    <n v="73878110"/>
    <n v="1431000"/>
    <n v="69655906"/>
    <n v="93825200"/>
    <s v="6%"/>
    <n v="0"/>
    <n v="627964"/>
    <n v="627964"/>
    <n v="8.5000008798275968E-3"/>
    <m/>
    <s v="COMISION AL 100%"/>
  </r>
  <r>
    <s v="2026/05/31"/>
    <s v="Mayo"/>
    <s v="Kia "/>
    <x v="6"/>
    <x v="29"/>
    <x v="31"/>
    <s v="VITRINA"/>
    <n v="27064329"/>
    <s v="VKP 91745"/>
    <s v="2026-05-25"/>
    <s v="1970-01-01"/>
    <s v="2026-05-29"/>
    <x v="182"/>
    <n v="11"/>
    <s v="2027BL1A40__25G1600"/>
    <x v="9"/>
    <s v="3KPFF51ABVE196230"/>
    <n v="68476535"/>
    <n v="1464000"/>
    <n v="63159842"/>
    <n v="86965199"/>
    <s v="8%"/>
    <n v="0"/>
    <n v="582051"/>
    <n v="582051"/>
    <n v="8.5000066081030532E-3"/>
    <m/>
    <s v="COMISION AL 100%"/>
  </r>
  <r>
    <s v="2026/05/31"/>
    <s v="Mayo"/>
    <s v="Kia "/>
    <x v="6"/>
    <x v="29"/>
    <x v="31"/>
    <s v="VITRINA"/>
    <n v="26979801"/>
    <s v="VKP 91735"/>
    <s v="2026-05-25"/>
    <s v="1970-01-01"/>
    <s v="2026-05-29"/>
    <x v="183"/>
    <n v="11"/>
    <s v="2027JA3M20__25G1002"/>
    <x v="2"/>
    <s v="KNAB2511AVT514518"/>
    <n v="45661417"/>
    <n v="695700"/>
    <n v="41856299"/>
    <n v="57990000"/>
    <s v="8%"/>
    <n v="0"/>
    <n v="388122"/>
    <n v="388122"/>
    <n v="8.4999990254354136E-3"/>
    <m/>
    <s v="COMISION AL 100%"/>
  </r>
  <r>
    <s v="2026/05/31"/>
    <s v="Mayo"/>
    <s v="Kia "/>
    <x v="6"/>
    <x v="29"/>
    <x v="31"/>
    <s v="VITRINA"/>
    <n v="27046560"/>
    <s v="VKP 91715"/>
    <s v="2026-05-21"/>
    <s v="1970-01-01"/>
    <s v="2026-05-29"/>
    <x v="184"/>
    <n v="11"/>
    <s v="2027JA3M20__25G1002"/>
    <x v="2"/>
    <s v="KNAB2511AVT514847"/>
    <n v="45661417"/>
    <n v="695700"/>
    <n v="41856299"/>
    <n v="57990000"/>
    <s v="8%"/>
    <n v="7990000"/>
    <n v="388122"/>
    <n v="0"/>
    <n v="8.4999990254354136E-3"/>
    <m/>
    <s v="COMISION AL 100%"/>
  </r>
  <r>
    <s v="2026/05/31"/>
    <s v="Mayo"/>
    <s v="Kia "/>
    <x v="6"/>
    <x v="29"/>
    <x v="31"/>
    <s v="VITRINA"/>
    <n v="27072257"/>
    <s v="VKP 91718"/>
    <s v="2026-05-21"/>
    <s v="1970-01-01"/>
    <s v="2026-05-29"/>
    <x v="185"/>
    <n v="11"/>
    <s v="2027JA3M45__25G1202"/>
    <x v="6"/>
    <s v="KNAB2512AVT513543"/>
    <n v="51763780"/>
    <n v="695700"/>
    <n v="46908793"/>
    <n v="65740001"/>
    <s v="9%"/>
    <n v="6849727"/>
    <n v="439992"/>
    <n v="0"/>
    <n v="8.4999974885914438E-3"/>
    <m/>
    <s v="COMISION AL 100%"/>
  </r>
  <r>
    <s v="2026/05/31"/>
    <s v="Mayo"/>
    <s v="Kia "/>
    <x v="6"/>
    <x v="29"/>
    <x v="31"/>
    <s v="VITRINA"/>
    <n v="27006162"/>
    <s v="VKP 91714"/>
    <s v="2026-05-21"/>
    <s v="1970-01-01"/>
    <s v="2026-05-29"/>
    <x v="186"/>
    <n v="11"/>
    <s v="2027JA3M45__25G1202"/>
    <x v="6"/>
    <s v="KNAB2512AVT513974"/>
    <n v="51763780"/>
    <n v="695700"/>
    <n v="46908793"/>
    <n v="65740001"/>
    <s v="9%"/>
    <n v="6404498"/>
    <n v="439992"/>
    <n v="0"/>
    <n v="8.4999974885914438E-3"/>
    <m/>
    <s v="COMISION AL 100%"/>
  </r>
  <r>
    <s v="2026/05/31"/>
    <s v="Mayo"/>
    <s v="Kia "/>
    <x v="6"/>
    <x v="29"/>
    <x v="31"/>
    <s v="VITRINA"/>
    <n v="27069966"/>
    <s v="VKP 91725"/>
    <s v="2026-05-23"/>
    <s v="1970-01-01"/>
    <s v="2026-05-28"/>
    <x v="187"/>
    <n v="11"/>
    <s v="2027YB2A40__25H1001"/>
    <x v="3"/>
    <s v="KNAD6817GVT104658"/>
    <n v="86506726"/>
    <n v="781200"/>
    <n v="85995047"/>
    <n v="97752600"/>
    <s v="1%"/>
    <n v="0"/>
    <n v="735307"/>
    <n v="735307"/>
    <n v="8.4999980232750919E-3"/>
    <m/>
    <s v="COMISION AL 100%"/>
  </r>
  <r>
    <s v="2026/05/31"/>
    <s v="Mayo"/>
    <s v="Kia "/>
    <x v="6"/>
    <x v="30"/>
    <x v="32"/>
    <s v="TALLER"/>
    <n v="27080309"/>
    <s v="VKP 91754"/>
    <s v="2026-05-26"/>
    <s v="1970-01-01"/>
    <s v="2026-05-29"/>
    <x v="188"/>
    <n v="1"/>
    <s v="2027NQ2A65__25H1601"/>
    <x v="18"/>
    <s v="KNAPV81GBV7368718"/>
    <n v="155752212"/>
    <n v="1654654"/>
    <n v="141761947"/>
    <n v="176000000"/>
    <s v="9%"/>
    <n v="0"/>
    <n v="778761.06"/>
    <n v="389380.53"/>
    <n v="5.0000000000000001E-3"/>
    <m/>
    <s v="COMISION AL 100%"/>
  </r>
  <r>
    <s v="2026/05/31"/>
    <s v="Mayo"/>
    <s v="Kia "/>
    <x v="6"/>
    <x v="31"/>
    <x v="33"/>
    <s v="VITRINA"/>
    <n v="27039510"/>
    <s v="VKP 91704"/>
    <s v="2026-05-21"/>
    <s v="1970-01-01"/>
    <s v="2026-05-28"/>
    <x v="189"/>
    <n v="8"/>
    <s v="2027JA3M45__25G1202"/>
    <x v="6"/>
    <s v="KNAB2512AVT513542"/>
    <n v="51763780"/>
    <n v="695700"/>
    <n v="46908793"/>
    <n v="65740001"/>
    <s v="9%"/>
    <n v="9815051"/>
    <n v="439992"/>
    <n v="0"/>
    <n v="8.4999974885914438E-3"/>
    <m/>
    <s v="COMISION AL 100%"/>
  </r>
  <r>
    <s v="2026/05/31"/>
    <s v="Mayo"/>
    <s v="Kia "/>
    <x v="6"/>
    <x v="31"/>
    <x v="33"/>
    <s v="FERIA AUTOMOTRIZ"/>
    <n v="27011327"/>
    <s v="VKP 91702"/>
    <s v="2026-05-21"/>
    <s v="1970-01-01"/>
    <s v="2026-05-28"/>
    <x v="190"/>
    <n v="8"/>
    <s v="2027JA3M45__25G1202"/>
    <x v="6"/>
    <s v="KNAB2512AVT513973"/>
    <n v="51763780"/>
    <n v="695700"/>
    <n v="46908793"/>
    <n v="65740001"/>
    <s v="9%"/>
    <n v="0"/>
    <n v="439992"/>
    <n v="439992"/>
    <n v="8.4999974885914438E-3"/>
    <m/>
    <s v="COMISION AL 100%"/>
  </r>
  <r>
    <s v="2026/05/31"/>
    <s v="Mayo"/>
    <s v="Kia "/>
    <x v="6"/>
    <x v="31"/>
    <x v="33"/>
    <s v="PAGINA WEB ARMOTOR"/>
    <n v="27026197"/>
    <s v="VKP 91703"/>
    <s v="2026-05-21"/>
    <s v="1970-01-01"/>
    <s v="2026-05-28"/>
    <x v="191"/>
    <n v="8"/>
    <s v="2027JA3M45__25G1202"/>
    <x v="6"/>
    <s v="KNAB2512AVT514109"/>
    <n v="51763780"/>
    <n v="695700"/>
    <n v="46908793"/>
    <n v="65740001"/>
    <s v="9%"/>
    <n v="43548348"/>
    <n v="439992"/>
    <n v="0"/>
    <n v="8.4999974885914438E-3"/>
    <m/>
    <s v="COMISION AL 100%"/>
  </r>
  <r>
    <s v="2026/05/31"/>
    <s v="Mayo"/>
    <s v="Kia "/>
    <x v="6"/>
    <x v="31"/>
    <x v="33"/>
    <s v="MARCA"/>
    <n v="27071134"/>
    <s v="VKP 91705"/>
    <s v="2026-05-21"/>
    <s v="1970-01-01"/>
    <s v="2026-05-28"/>
    <x v="192"/>
    <n v="8"/>
    <s v="2027JA3M45__25G1202"/>
    <x v="6"/>
    <s v="KNAB2512AVT514111"/>
    <n v="51763780"/>
    <n v="695700"/>
    <n v="46908793"/>
    <n v="65740001"/>
    <s v="9%"/>
    <n v="0"/>
    <n v="439992"/>
    <n v="439992"/>
    <n v="8.4999974885914438E-3"/>
    <m/>
    <s v="COMISION AL 100%"/>
  </r>
  <r>
    <s v="2026/05/31"/>
    <s v="Mayo"/>
    <s v="Kia "/>
    <x v="6"/>
    <x v="31"/>
    <x v="33"/>
    <s v="REFERIDO"/>
    <n v="27052243"/>
    <s v="VKP 91716"/>
    <s v="2026-05-21"/>
    <s v="1970-01-01"/>
    <s v="2026-05-29"/>
    <x v="193"/>
    <n v="8"/>
    <s v="2027NQ2A40__25H1600"/>
    <x v="4"/>
    <s v="KNAPU81GBV7387387"/>
    <n v="134448142"/>
    <n v="798300"/>
    <n v="121850442"/>
    <n v="151926400"/>
    <s v="9%"/>
    <n v="143628758"/>
    <n v="1142809"/>
    <n v="0"/>
    <n v="8.499998460372922E-3"/>
    <m/>
    <s v="COMISION AL 100%"/>
  </r>
  <r>
    <s v="2026/05/31"/>
    <s v="Mayo"/>
    <s v="Kia "/>
    <x v="6"/>
    <x v="31"/>
    <x v="33"/>
    <s v="EVENTOS"/>
    <n v="27050890"/>
    <s v="VKP 91694"/>
    <s v="2026-05-20"/>
    <s v="2026-05-25"/>
    <s v="2026-05-22"/>
    <x v="194"/>
    <n v="8"/>
    <s v="2027NQ2A65__25H1601"/>
    <x v="18"/>
    <s v="KNAPV81GBV7368724"/>
    <n v="156849558"/>
    <n v="4343100"/>
    <n v="141761947"/>
    <n v="177240001"/>
    <s v="10%"/>
    <n v="0"/>
    <n v="1333221"/>
    <n v="1333221"/>
    <n v="8.4999984507447574E-3"/>
    <m/>
    <s v="COMISION AL 100%"/>
  </r>
  <r>
    <s v="2026/05/31"/>
    <s v="Mayo"/>
    <s v="Kia "/>
    <x v="6"/>
    <x v="31"/>
    <x v="33"/>
    <s v="AGENCIA PUBLICIDAD"/>
    <n v="27029141"/>
    <s v="VKP 91659"/>
    <s v="2026-04-29"/>
    <s v="2026-05-13"/>
    <s v="2026-05-11"/>
    <x v="195"/>
    <n v="8"/>
    <s v="2027NQ2A65__25H1601"/>
    <x v="18"/>
    <s v="KNAPV81GBV7370097"/>
    <n v="158101947"/>
    <n v="3798300"/>
    <n v="141761947"/>
    <n v="178655200"/>
    <s v="10%"/>
    <n v="0"/>
    <n v="1343867"/>
    <n v="1343867"/>
    <n v="8.5000028494272746E-3"/>
    <m/>
    <s v="COMISION AL 100%"/>
  </r>
  <r>
    <s v="2026/05/31"/>
    <s v="Mayo"/>
    <s v="Kia "/>
    <x v="6"/>
    <x v="31"/>
    <x v="33"/>
    <s v="CONVENIOS EMPRESARIALES"/>
    <n v="27064326"/>
    <s v="VKP 91776"/>
    <s v="2026-05-28"/>
    <s v="1970-01-01"/>
    <s v="2026-05-30"/>
    <x v="196"/>
    <n v="8"/>
    <s v="2027AB1A22__24G1401"/>
    <x v="25"/>
    <s v="LJD0AA29BV0395410"/>
    <n v="61409567"/>
    <n v="695700"/>
    <n v="57735564"/>
    <n v="77990150"/>
    <s v="6%"/>
    <n v="0"/>
    <n v="521981"/>
    <n v="521981"/>
    <n v="8.4999947972276054E-3"/>
    <m/>
    <s v="COMISION AL 100%"/>
  </r>
  <r>
    <s v="2026/05/31"/>
    <s v="Mayo"/>
    <s v="Kia "/>
    <x v="6"/>
    <x v="32"/>
    <x v="34"/>
    <s v="VITRINA"/>
    <n v="27081961"/>
    <s v="VKP 91768"/>
    <s v="2026-05-27"/>
    <s v="1970-01-01"/>
    <s v="2026-05-29"/>
    <x v="197"/>
    <n v="9"/>
    <s v="2027BL1A40__24G1600"/>
    <x v="16"/>
    <s v="3KPFC41ABVE188394"/>
    <n v="66323150"/>
    <n v="1431000"/>
    <n v="63159842"/>
    <n v="84230401"/>
    <s v="5%"/>
    <n v="0"/>
    <n v="563747"/>
    <n v="563747"/>
    <n v="8.5000033924806043E-3"/>
    <m/>
    <s v="COMISION AL 100%"/>
  </r>
  <r>
    <s v="2026/05/31"/>
    <s v="Mayo"/>
    <s v="Kia "/>
    <x v="6"/>
    <x v="32"/>
    <x v="34"/>
    <s v="VITRINA"/>
    <n v="27088863"/>
    <s v="VKP 91779"/>
    <s v="2026-05-29"/>
    <s v="1970-01-01"/>
    <s v="2026-05-30"/>
    <x v="198"/>
    <n v="9"/>
    <s v="2027BL1A70__25G1601"/>
    <x v="0"/>
    <s v="3KPFD51ABVE175651"/>
    <n v="84047244"/>
    <n v="5207000"/>
    <n v="77595538"/>
    <n v="106740000"/>
    <s v="8%"/>
    <n v="0"/>
    <n v="714402"/>
    <n v="714402"/>
    <n v="8.5000050685778584E-3"/>
    <m/>
    <s v="COMISION AL 100%"/>
  </r>
  <r>
    <s v="2026/05/31"/>
    <s v="Mayo"/>
    <s v="Kia "/>
    <x v="6"/>
    <x v="32"/>
    <x v="34"/>
    <s v="VITRINA"/>
    <n v="27078000"/>
    <s v="VKP 91747"/>
    <s v="2026-05-25"/>
    <s v="1970-01-01"/>
    <s v="2026-05-29"/>
    <x v="199"/>
    <n v="9"/>
    <s v="2027BL1A70__25G1601"/>
    <x v="0"/>
    <s v="3KPFD51ABVE196216"/>
    <n v="83562126"/>
    <n v="1854000"/>
    <n v="76151969"/>
    <n v="106123900"/>
    <s v="9%"/>
    <n v="0"/>
    <n v="710278"/>
    <n v="710278"/>
    <n v="8.4999991503327717E-3"/>
    <m/>
    <s v="COMISION AL 100%"/>
  </r>
  <r>
    <s v="2026/05/31"/>
    <s v="Mayo"/>
    <s v="Kia "/>
    <x v="6"/>
    <x v="32"/>
    <x v="34"/>
    <s v="REFERIDO"/>
    <n v="27078283"/>
    <s v="VKP 91764"/>
    <s v="2026-05-27"/>
    <s v="1970-01-01"/>
    <s v="2026-05-29"/>
    <x v="200"/>
    <n v="9"/>
    <s v="2027BL1M40__25G1600"/>
    <x v="8"/>
    <s v="3KPFF51AAVE194263"/>
    <n v="62496220"/>
    <n v="1464000"/>
    <n v="58107349"/>
    <n v="79370199"/>
    <s v="7%"/>
    <n v="46608046"/>
    <n v="531218"/>
    <n v="0"/>
    <n v="8.5000020801258066E-3"/>
    <m/>
    <s v="COMISION AL 100%"/>
  </r>
  <r>
    <s v="2026/05/31"/>
    <s v="Mayo"/>
    <s v="Kia "/>
    <x v="6"/>
    <x v="32"/>
    <x v="34"/>
    <s v="VITRINA"/>
    <n v="27076597"/>
    <s v="VKP 91734"/>
    <s v="2026-05-25"/>
    <s v="1970-01-01"/>
    <s v="2026-05-28"/>
    <x v="201"/>
    <n v="9"/>
    <s v="2027JA3M20__25G1002"/>
    <x v="2"/>
    <s v="KNAB2511AVT514567"/>
    <n v="45661417"/>
    <n v="695700"/>
    <n v="41856299"/>
    <n v="57990000"/>
    <s v="8%"/>
    <n v="0"/>
    <n v="388122"/>
    <n v="388122"/>
    <n v="8.4999990254354136E-3"/>
    <m/>
    <s v="COMISION AL 100%"/>
  </r>
  <r>
    <s v="2026/05/31"/>
    <s v="Mayo"/>
    <s v="Kia "/>
    <x v="6"/>
    <x v="32"/>
    <x v="34"/>
    <s v="VITRINA"/>
    <n v="27071643"/>
    <s v="VKP 91709"/>
    <s v="2026-05-21"/>
    <s v="1970-01-01"/>
    <s v="2026-05-28"/>
    <x v="202"/>
    <n v="9"/>
    <s v="2027JA3M20__25G1002"/>
    <x v="2"/>
    <s v="KNAB2511AVT514843"/>
    <n v="45661417"/>
    <n v="695700"/>
    <n v="41856299"/>
    <n v="57990000"/>
    <s v="8%"/>
    <n v="0"/>
    <n v="388122"/>
    <n v="388122"/>
    <n v="8.4999990254354136E-3"/>
    <m/>
    <s v="COMISION AL 100%"/>
  </r>
  <r>
    <s v="2026/05/31"/>
    <s v="Mayo"/>
    <s v="Kia "/>
    <x v="6"/>
    <x v="32"/>
    <x v="34"/>
    <s v="VITRINA"/>
    <n v="27072168"/>
    <s v="VKP 91721"/>
    <s v="2026-05-21"/>
    <s v="1970-01-01"/>
    <s v="2026-05-28"/>
    <x v="203"/>
    <n v="9"/>
    <s v="2027JA3M45__25G1202"/>
    <x v="6"/>
    <s v="KNAB2512AVT513536"/>
    <n v="51763780"/>
    <n v="695700"/>
    <n v="46908793"/>
    <n v="65740001"/>
    <s v="9%"/>
    <n v="0"/>
    <n v="439992"/>
    <n v="439992"/>
    <n v="8.4999974885914438E-3"/>
    <m/>
    <s v="COMISION AL 100%"/>
  </r>
  <r>
    <s v="2026/05/31"/>
    <s v="Mayo"/>
    <s v="Kia "/>
    <x v="6"/>
    <x v="32"/>
    <x v="34"/>
    <s v="EVENTOS"/>
    <n v="27069133"/>
    <s v="VKP 91710"/>
    <s v="2026-05-21"/>
    <s v="1970-01-01"/>
    <s v="2026-05-26"/>
    <x v="204"/>
    <n v="9"/>
    <s v="2027NQ2A65__25H1601"/>
    <x v="18"/>
    <s v="KNAPV81GBV7370239"/>
    <n v="154496814"/>
    <n v="798300"/>
    <n v="141761947"/>
    <n v="174581400"/>
    <s v="8%"/>
    <n v="147913000"/>
    <n v="1313223"/>
    <n v="0"/>
    <n v="8.5000005242826561E-3"/>
    <m/>
    <s v="COMISION AL 100%"/>
  </r>
  <r>
    <s v="2026/05/31"/>
    <s v="Mayo"/>
    <s v="Kia "/>
    <x v="6"/>
    <x v="32"/>
    <x v="34"/>
    <s v="VITRINA"/>
    <n v="27054019"/>
    <s v="VKP 91687"/>
    <s v="2026-05-14"/>
    <s v="1970-01-01"/>
    <s v="2026-05-26"/>
    <x v="205"/>
    <n v="9"/>
    <s v="2027QY2M35__25G1503"/>
    <x v="7"/>
    <s v="LJD3BA1DAV0093417"/>
    <n v="70149685"/>
    <n v="735600"/>
    <n v="64953412"/>
    <n v="89090100"/>
    <s v="7%"/>
    <n v="0"/>
    <n v="596272"/>
    <n v="596272"/>
    <n v="8.4999954026878377E-3"/>
    <m/>
    <s v="COMISION AL 100%"/>
  </r>
  <r>
    <s v="2026/05/31"/>
    <s v="Mayo"/>
    <s v="Kia "/>
    <x v="6"/>
    <x v="33"/>
    <x v="35"/>
    <s v="VITRINA"/>
    <n v="27053511"/>
    <s v="VKP 91680"/>
    <s v="2026-05-12"/>
    <s v="2026-05-23"/>
    <s v="2026-05-21"/>
    <x v="206"/>
    <n v="13"/>
    <s v="2027BL1A40__24G1600"/>
    <x v="16"/>
    <s v="3KPFC41ABVE188725"/>
    <n v="67874016"/>
    <n v="1431000"/>
    <n v="63159842"/>
    <n v="86200000"/>
    <s v="7%"/>
    <n v="0"/>
    <n v="576929"/>
    <n v="576929"/>
    <n v="8.4999979962877108E-3"/>
    <m/>
    <s v="COMISION AL 100%"/>
  </r>
  <r>
    <s v="2026/05/31"/>
    <s v="Mayo"/>
    <s v="Kia "/>
    <x v="6"/>
    <x v="33"/>
    <x v="35"/>
    <s v="VITRINA"/>
    <n v="27040001"/>
    <s v="VKP 91671"/>
    <s v="2026-05-08"/>
    <s v="2026-05-21"/>
    <s v="2026-05-13"/>
    <x v="207"/>
    <n v="13"/>
    <s v="2027BL1A70__25G1601"/>
    <x v="0"/>
    <s v="3KPFD51ABVE180606"/>
    <n v="84047244"/>
    <n v="2508000"/>
    <n v="77595538"/>
    <n v="106740000"/>
    <s v="8%"/>
    <n v="0"/>
    <n v="714402"/>
    <n v="714402"/>
    <n v="8.5000050685778584E-3"/>
    <m/>
    <s v="COMISION AL 100%"/>
  </r>
  <r>
    <s v="2026/05/31"/>
    <s v="Mayo"/>
    <s v="Kia "/>
    <x v="6"/>
    <x v="33"/>
    <x v="35"/>
    <s v="REFERIDO"/>
    <n v="27060744"/>
    <s v="VKP 91690"/>
    <s v="2026-05-15"/>
    <s v="2026-05-29"/>
    <s v="2026-05-25"/>
    <x v="208"/>
    <n v="13"/>
    <s v="2027BL1A60__25G1601"/>
    <x v="11"/>
    <s v="3KPFF51ABVE180068"/>
    <n v="76377953"/>
    <n v="1431000"/>
    <n v="69655906"/>
    <n v="97000000"/>
    <s v="9%"/>
    <n v="0"/>
    <n v="649213"/>
    <n v="649213"/>
    <n v="8.500005230566994E-3"/>
    <m/>
    <s v="COMISION AL 100%"/>
  </r>
  <r>
    <s v="2026/05/31"/>
    <s v="Mayo"/>
    <s v="Kia "/>
    <x v="6"/>
    <x v="33"/>
    <x v="35"/>
    <s v="PAGINA WEB ARMOTOR"/>
    <n v="27040086"/>
    <s v="VKP 91668"/>
    <s v="2026-05-06"/>
    <s v="2026-05-22"/>
    <s v="2026-05-12"/>
    <x v="209"/>
    <n v="13"/>
    <s v="2027BL1A60__25G1601"/>
    <x v="11"/>
    <s v="3KPFF51ABVE181183"/>
    <n v="75385827"/>
    <n v="1431000"/>
    <n v="69655906"/>
    <n v="95740000"/>
    <s v="8%"/>
    <n v="0"/>
    <n v="640780"/>
    <n v="640780"/>
    <n v="8.5000062412262187E-3"/>
    <m/>
    <s v="COMISION AL 100%"/>
  </r>
  <r>
    <s v="2026/05/31"/>
    <s v="Mayo"/>
    <s v="Kia "/>
    <x v="6"/>
    <x v="33"/>
    <x v="35"/>
    <s v="REFERIDO"/>
    <n v="27005994"/>
    <s v="VKP 91730"/>
    <s v="2026-05-25"/>
    <s v="1970-01-01"/>
    <s v="2026-05-28"/>
    <x v="210"/>
    <n v="13"/>
    <s v="2027JA3M20__25G1002"/>
    <x v="2"/>
    <s v="KNAB2511AVT514180"/>
    <n v="45661417"/>
    <n v="695700"/>
    <n v="41856299"/>
    <n v="57990000"/>
    <s v="8%"/>
    <n v="51878363"/>
    <n v="388122"/>
    <n v="0"/>
    <n v="8.4999990254354136E-3"/>
    <m/>
    <s v="COMISION AL 100%"/>
  </r>
  <r>
    <s v="2026/05/31"/>
    <s v="Mayo"/>
    <s v="Kia "/>
    <x v="6"/>
    <x v="33"/>
    <x v="35"/>
    <s v="REFERIDO"/>
    <n v="27077940"/>
    <s v="VKP 91739"/>
    <s v="2026-05-25"/>
    <s v="1970-01-01"/>
    <s v="2026-05-29"/>
    <x v="211"/>
    <n v="13"/>
    <s v="2027JA3M20__25G1002"/>
    <x v="2"/>
    <s v="KNAB2511AVT514517"/>
    <n v="45661417"/>
    <n v="695700"/>
    <n v="41856299"/>
    <n v="57990000"/>
    <s v="8%"/>
    <n v="57990000"/>
    <n v="388122"/>
    <n v="0"/>
    <n v="8.4999990254354136E-3"/>
    <m/>
    <s v="COMISION AL 100%"/>
  </r>
  <r>
    <s v="2026/05/31"/>
    <s v="Mayo"/>
    <s v="Kia "/>
    <x v="6"/>
    <x v="33"/>
    <x v="35"/>
    <s v="REFERIDO"/>
    <n v="27003641"/>
    <s v="VKP 91748"/>
    <s v="2026-05-26"/>
    <s v="1970-01-01"/>
    <s v="2026-05-28"/>
    <x v="212"/>
    <n v="13"/>
    <s v="2027JA3M20__25G1002"/>
    <x v="2"/>
    <s v="KNAB2511AVT514565"/>
    <n v="45661417"/>
    <n v="695700"/>
    <n v="41856299"/>
    <n v="57990000"/>
    <s v="8%"/>
    <n v="37992347"/>
    <n v="388122"/>
    <n v="0"/>
    <n v="8.4999990254354136E-3"/>
    <m/>
    <s v="COMISION AL 100%"/>
  </r>
  <r>
    <s v="2026/05/31"/>
    <s v="Mayo"/>
    <s v="Kia "/>
    <x v="6"/>
    <x v="33"/>
    <x v="35"/>
    <s v="AGENCIA PUBLICIDAD"/>
    <n v="27017482"/>
    <s v="VKP 91700"/>
    <s v="2026-05-21"/>
    <s v="1970-01-01"/>
    <s v="2026-05-28"/>
    <x v="213"/>
    <n v="13"/>
    <s v="2027JA3M20__25G1002"/>
    <x v="2"/>
    <s v="KNAB2511AVT514598"/>
    <n v="45661417"/>
    <n v="695700"/>
    <n v="41856299"/>
    <n v="57990000"/>
    <s v="8%"/>
    <n v="52191000"/>
    <n v="388122"/>
    <n v="0"/>
    <n v="8.4999990254354136E-3"/>
    <m/>
    <s v="COMISION AL 100%"/>
  </r>
  <r>
    <s v="2026/05/31"/>
    <s v="Mayo"/>
    <s v="Kia "/>
    <x v="6"/>
    <x v="33"/>
    <x v="35"/>
    <s v="REFERIDO"/>
    <n v="27023594"/>
    <s v="VKP 91701"/>
    <s v="2026-05-21"/>
    <s v="1970-01-01"/>
    <s v="2026-05-28"/>
    <x v="214"/>
    <n v="13"/>
    <s v="2027JA3M45__25G1202"/>
    <x v="6"/>
    <s v="KNAB2512AVT513537"/>
    <n v="51763780"/>
    <n v="695700"/>
    <n v="46908793"/>
    <n v="65740001"/>
    <s v="9%"/>
    <n v="0"/>
    <n v="439992"/>
    <n v="439992"/>
    <n v="8.4999974885914438E-3"/>
    <m/>
    <s v="COMISION AL 100%"/>
  </r>
  <r>
    <s v="2026/05/31"/>
    <s v="Mayo"/>
    <s v="Kia "/>
    <x v="6"/>
    <x v="33"/>
    <x v="35"/>
    <s v="PAGINA WEB ARMOTOR"/>
    <n v="26997665"/>
    <s v="VKP 91699"/>
    <s v="2026-05-21"/>
    <s v="1970-01-01"/>
    <s v="2026-05-28"/>
    <x v="215"/>
    <n v="13"/>
    <s v="2027JA3M45__25G1202"/>
    <x v="6"/>
    <s v="KNAB2512AVT513955"/>
    <n v="51763780"/>
    <n v="695700"/>
    <n v="46908793"/>
    <n v="65740001"/>
    <s v="9%"/>
    <n v="58454364"/>
    <n v="439992"/>
    <n v="0"/>
    <n v="8.4999974885914438E-3"/>
    <m/>
    <s v="COMISION AL 100%"/>
  </r>
  <r>
    <s v="2026/05/31"/>
    <s v="Mayo"/>
    <s v="Kia "/>
    <x v="6"/>
    <x v="33"/>
    <x v="35"/>
    <s v="CONVENIOS EMPRESARIALES"/>
    <n v="27049145"/>
    <s v="VKP 91689"/>
    <s v="2026-05-14"/>
    <s v="1970-01-01"/>
    <s v="2026-05-23"/>
    <x v="216"/>
    <n v="13"/>
    <s v="2027YB2A40__25H1001"/>
    <x v="3"/>
    <s v="KNAD6817GVT105008"/>
    <n v="84759115"/>
    <n v="712800"/>
    <n v="85995047"/>
    <n v="95777800"/>
    <s v="-1%"/>
    <n v="0"/>
    <n v="720452"/>
    <n v="720452"/>
    <n v="8.499994366387615E-3"/>
    <m/>
    <s v="COMISION AL 100%"/>
  </r>
  <r>
    <s v="2026/05/31"/>
    <s v="Mayo"/>
    <s v="Kia "/>
    <x v="6"/>
    <x v="33"/>
    <x v="35"/>
    <s v="PLAYA DE VENTAS"/>
    <n v="27071498"/>
    <s v="VKP 91760"/>
    <s v="2026-05-26"/>
    <s v="1970-01-01"/>
    <s v="2026-05-29"/>
    <x v="217"/>
    <n v="13"/>
    <s v="2027NQ2A40__25H1600"/>
    <x v="4"/>
    <s v="KNAPU81GBV7361452"/>
    <n v="133765664"/>
    <n v="849600"/>
    <n v="127425664"/>
    <n v="151155200"/>
    <s v="5%"/>
    <n v="0"/>
    <n v="1137008"/>
    <n v="1137008"/>
    <n v="8.49999892349056E-3"/>
    <m/>
    <s v="COMISION AL 100%"/>
  </r>
  <r>
    <s v="2026/05/31"/>
    <s v="Mayo"/>
    <s v="Kia "/>
    <x v="6"/>
    <x v="33"/>
    <x v="35"/>
    <s v="VITRINA"/>
    <n v="27029980"/>
    <s v="VKP 91661"/>
    <s v="2026-04-29"/>
    <s v="2026-05-15"/>
    <s v="2026-05-07"/>
    <x v="218"/>
    <n v="13"/>
    <s v="2027NQ2A65__25H1601"/>
    <x v="18"/>
    <s v="KNAPV81GBV7370064"/>
    <n v="158619469"/>
    <n v="1686300"/>
    <n v="141761947"/>
    <n v="179240000"/>
    <s v="11%"/>
    <n v="0"/>
    <n v="1348265"/>
    <n v="1348265"/>
    <n v="8.4999969329111798E-3"/>
    <m/>
    <s v="COMISION AL 100%"/>
  </r>
  <r>
    <s v="2026/05/31"/>
    <s v="Mayo"/>
    <s v="Kia "/>
    <x v="6"/>
    <x v="34"/>
    <x v="36"/>
    <s v="VITRINA"/>
    <n v="27076962"/>
    <s v="VKP 91752"/>
    <s v="2026-05-25"/>
    <s v="1970-01-01"/>
    <s v="2026-05-29"/>
    <x v="219"/>
    <n v="9"/>
    <s v="2027BL1A70__24G1601"/>
    <x v="1"/>
    <s v="3KPFE41ABVE187402"/>
    <n v="81594646"/>
    <n v="1431000"/>
    <n v="76151969"/>
    <n v="103625200"/>
    <s v="7%"/>
    <n v="0"/>
    <n v="693554"/>
    <n v="693554"/>
    <n v="8.4999939824483093E-3"/>
    <m/>
    <s v="COMISION AL 100%"/>
  </r>
  <r>
    <s v="2026/05/31"/>
    <s v="Mayo"/>
    <s v="Kia "/>
    <x v="6"/>
    <x v="34"/>
    <x v="36"/>
    <s v="VITRINA"/>
    <n v="27072259"/>
    <s v="VKP 91741"/>
    <s v="2026-05-25"/>
    <s v="1970-01-01"/>
    <s v="2026-05-28"/>
    <x v="220"/>
    <n v="9"/>
    <s v="2027BL1M40__25G1600"/>
    <x v="8"/>
    <s v="3KPFF51AAVE194189"/>
    <n v="62496220"/>
    <n v="1464000"/>
    <n v="58107349"/>
    <n v="79370199"/>
    <s v="7%"/>
    <n v="79370199"/>
    <n v="531218"/>
    <n v="0"/>
    <n v="8.5000020801258066E-3"/>
    <m/>
    <s v="COMISION AL 100%"/>
  </r>
  <r>
    <s v="2026/05/31"/>
    <s v="Mayo"/>
    <s v="Kia "/>
    <x v="6"/>
    <x v="34"/>
    <x v="36"/>
    <s v="VITRINA"/>
    <n v="27078192"/>
    <s v="VKP 91763"/>
    <s v="2026-05-26"/>
    <s v="1970-01-01"/>
    <s v="2026-05-29"/>
    <x v="221"/>
    <n v="9"/>
    <s v="2027BL1A60__25G1601"/>
    <x v="11"/>
    <s v="3KPFF51ABVE195351"/>
    <n v="73878110"/>
    <n v="1464000"/>
    <n v="68212336"/>
    <n v="93825200"/>
    <s v="8%"/>
    <n v="93825200"/>
    <n v="627964"/>
    <n v="0"/>
    <n v="8.5000008798275968E-3"/>
    <m/>
    <s v="COMISION AL 100%"/>
  </r>
  <r>
    <s v="2026/05/31"/>
    <s v="Mayo"/>
    <s v="Kia "/>
    <x v="6"/>
    <x v="34"/>
    <x v="36"/>
    <s v="VITRINA"/>
    <n v="27071634"/>
    <s v="VKP 91726"/>
    <s v="2026-05-23"/>
    <s v="1970-01-01"/>
    <s v="2026-05-28"/>
    <x v="222"/>
    <n v="9"/>
    <s v="2027JA3M20__25G1002"/>
    <x v="2"/>
    <s v="KNAB2511AVT514520"/>
    <n v="45661417"/>
    <n v="695700"/>
    <n v="41856299"/>
    <n v="57990000"/>
    <s v="8%"/>
    <n v="0"/>
    <n v="388122"/>
    <n v="388122"/>
    <n v="8.4999990254354136E-3"/>
    <m/>
    <s v="COMISION AL 100%"/>
  </r>
  <r>
    <s v="2026/05/31"/>
    <s v="Mayo"/>
    <s v="Kia "/>
    <x v="6"/>
    <x v="34"/>
    <x v="36"/>
    <s v="VITRINA"/>
    <n v="26971190"/>
    <s v="VKP 91708"/>
    <s v="2026-05-21"/>
    <s v="1970-01-01"/>
    <s v="2026-05-28"/>
    <x v="223"/>
    <n v="9"/>
    <s v="2027JA3M45__25G1202"/>
    <x v="6"/>
    <s v="KNAB2512AVT514110"/>
    <n v="51763780"/>
    <n v="695700"/>
    <n v="46908793"/>
    <n v="65740001"/>
    <s v="9%"/>
    <n v="16493001"/>
    <n v="439992"/>
    <n v="0"/>
    <n v="8.4999974885914438E-3"/>
    <m/>
    <s v="COMISION AL 100%"/>
  </r>
  <r>
    <s v="2026/05/31"/>
    <s v="Mayo"/>
    <s v="Kia "/>
    <x v="6"/>
    <x v="34"/>
    <x v="36"/>
    <s v="VITRINA"/>
    <n v="27047544"/>
    <s v="VKP 91676"/>
    <s v="2026-05-11"/>
    <s v="2026-05-27"/>
    <s v="2026-05-19"/>
    <x v="224"/>
    <n v="9"/>
    <s v="2027SG1A62__25H1600"/>
    <x v="12"/>
    <s v="KNACR81EGV5345824"/>
    <n v="125960354"/>
    <n v="714000"/>
    <n v="124239823"/>
    <n v="142335200"/>
    <s v="1%"/>
    <n v="0"/>
    <n v="1070663"/>
    <n v="1070663"/>
    <n v="8.4999999285489472E-3"/>
    <m/>
    <s v="COMISION AL 100%"/>
  </r>
  <r>
    <s v="2026/05/31"/>
    <s v="Mayo"/>
    <s v="Kia "/>
    <x v="6"/>
    <x v="34"/>
    <x v="36"/>
    <s v="VITRINA"/>
    <n v="27077783"/>
    <s v="VKP 91762"/>
    <s v="2026-05-26"/>
    <s v="1970-01-01"/>
    <s v="2026-05-29"/>
    <x v="225"/>
    <n v="9"/>
    <s v="2027YB2A31__25H1001"/>
    <x v="17"/>
    <s v="KNADA817GVT104795"/>
    <n v="82070796"/>
    <n v="985600"/>
    <n v="79564910"/>
    <n v="92739999"/>
    <s v="3%"/>
    <n v="0"/>
    <n v="697602"/>
    <n v="697602"/>
    <n v="8.5000028511969111E-3"/>
    <m/>
    <s v="COMISION AL 100%"/>
  </r>
  <r>
    <s v="2026/05/31"/>
    <s v="Mayo"/>
    <s v="Kia "/>
    <x v="6"/>
    <x v="34"/>
    <x v="36"/>
    <s v="AGENCIA PUBLICIDAD"/>
    <n v="27036161"/>
    <s v="VKP 91673"/>
    <s v="2026-05-11"/>
    <s v="2026-05-26"/>
    <s v="2026-05-21"/>
    <x v="226"/>
    <n v="9"/>
    <s v="2027NQ2A40__25H1600"/>
    <x v="4"/>
    <s v="KNAPU81GBV7361432"/>
    <n v="136495575"/>
    <n v="1679600"/>
    <n v="127425664"/>
    <n v="154240000"/>
    <s v="7%"/>
    <n v="0"/>
    <n v="1160212"/>
    <n v="1160212"/>
    <n v="8.4999971610801306E-3"/>
    <m/>
    <s v="COMISION AL 100%"/>
  </r>
  <r>
    <s v="2026/05/31"/>
    <s v="Mayo"/>
    <s v="Kia "/>
    <x v="6"/>
    <x v="34"/>
    <x v="36"/>
    <s v="MARCA"/>
    <n v="27049852"/>
    <s v="VKP 91684"/>
    <s v="2026-05-13"/>
    <s v="1970-01-01"/>
    <s v="2026-05-22"/>
    <x v="227"/>
    <n v="9"/>
    <s v="2027QY2M35__25G1503"/>
    <x v="7"/>
    <s v="LJD3BA1DAV0092720"/>
    <n v="72236220"/>
    <n v="1895600"/>
    <n v="64953412"/>
    <n v="91739999"/>
    <s v="10%"/>
    <n v="0"/>
    <n v="614008"/>
    <n v="614008"/>
    <n v="8.5000017996511995E-3"/>
    <m/>
    <s v="COMISION AL 100%"/>
  </r>
  <r>
    <s v="2026/05/31"/>
    <s v="Mayo"/>
    <s v="FAW"/>
    <x v="7"/>
    <x v="21"/>
    <x v="22"/>
    <s v="REFERIDO"/>
    <n v="27024281"/>
    <s v="VKP 91651"/>
    <s v="2026-04-29"/>
    <s v="1970-01-01"/>
    <s v="2026-05-28"/>
    <x v="228"/>
    <n v="9"/>
    <s v="2026WKR TIGER DC 3.6"/>
    <x v="26"/>
    <s v="LFWA3KC32TAE95112"/>
    <n v="96630252"/>
    <n v="600000"/>
    <n v="86277011"/>
    <n v="114990000"/>
    <s v="10%"/>
    <n v="0"/>
    <n v="821357.14200000011"/>
    <n v="821357.14200000011"/>
    <n v="8.5000000000000006E-3"/>
    <m/>
    <s v="COMISION AL 100%"/>
  </r>
  <r>
    <s v="2026/05/31"/>
    <s v="Mayo"/>
    <s v="Honda "/>
    <x v="8"/>
    <x v="35"/>
    <x v="37"/>
    <s v="VITRINA"/>
    <n v="27029044"/>
    <s v="VKP 91663"/>
    <s v="2026-04-30"/>
    <s v="2026-05-23"/>
    <s v="2026-05-21"/>
    <x v="229"/>
    <n v="2"/>
    <s v="2026WR-V PRESTIGE"/>
    <x v="14"/>
    <s v="93HDG5840TK502299"/>
    <n v="89606299"/>
    <n v="83000"/>
    <n v="83302756"/>
    <n v="113800000"/>
    <s v="7%"/>
    <n v="0"/>
    <n v="896063"/>
    <n v="896063"/>
    <n v="1.0000000111599298E-2"/>
    <m/>
    <s v="COMISION AL 100%"/>
  </r>
  <r>
    <s v="2026/05/31"/>
    <s v="Mayo"/>
    <s v="Honda "/>
    <x v="8"/>
    <x v="35"/>
    <x v="37"/>
    <s v="REFERIDO"/>
    <n v="27063197"/>
    <s v="VKP 91761"/>
    <s v="2026-05-26"/>
    <s v="1970-01-01"/>
    <s v="2026-05-29"/>
    <x v="230"/>
    <n v="2"/>
    <s v="2026WR-V PRESTIGE"/>
    <x v="14"/>
    <s v="93HDG5840TK502779"/>
    <n v="92047244"/>
    <n v="1618000"/>
    <n v="83302756"/>
    <n v="116900000"/>
    <s v="9%"/>
    <n v="116900000"/>
    <n v="920472"/>
    <n v="0"/>
    <n v="9.9999952198460175E-3"/>
    <m/>
    <s v="COMISION AL 100%"/>
  </r>
  <r>
    <s v="2026/05/31"/>
    <s v="Mayo"/>
    <s v="Honda "/>
    <x v="8"/>
    <x v="36"/>
    <x v="38"/>
    <s v="VITRINA"/>
    <n v="27083722"/>
    <s v="VKP 91770"/>
    <s v="2026-05-27"/>
    <s v="1970-01-01"/>
    <s v="2026-05-29"/>
    <x v="231"/>
    <n v="6"/>
    <s v="2026CR-V 1.5T 5DR EXL-R CVT"/>
    <x v="27"/>
    <s v="2HKRS487XTH600431"/>
    <n v="155118110"/>
    <n v="83000"/>
    <n v="150400787"/>
    <n v="197000000"/>
    <s v="3%"/>
    <n v="0"/>
    <n v="1551181"/>
    <n v="1551181"/>
    <n v="9.9999993553299485E-3"/>
    <m/>
    <s v="COMISION AL 100%"/>
  </r>
  <r>
    <s v="2026/05/31"/>
    <s v="Mayo"/>
    <s v="Honda "/>
    <x v="8"/>
    <x v="36"/>
    <x v="38"/>
    <s v="VITRINA"/>
    <n v="27087479"/>
    <s v="VKP 91774"/>
    <s v="2026-05-28"/>
    <s v="1970-01-01"/>
    <s v="2026-05-29"/>
    <x v="232"/>
    <n v="6"/>
    <s v="2026WR-V PRESTIGE"/>
    <x v="14"/>
    <s v="93HDG5840TK502630"/>
    <n v="92047244"/>
    <n v="83000"/>
    <n v="83302756"/>
    <n v="116900000"/>
    <s v="9%"/>
    <n v="71000000"/>
    <n v="920472"/>
    <n v="0"/>
    <n v="9.9999952198460175E-3"/>
    <m/>
    <s v="COMISION AL 100%"/>
  </r>
  <r>
    <s v="2026/05/31"/>
    <s v="Mayo"/>
    <s v="Honda "/>
    <x v="8"/>
    <x v="36"/>
    <x v="38"/>
    <s v="VITRINA"/>
    <n v="27066411"/>
    <s v="VKP 91756"/>
    <s v="2026-05-26"/>
    <s v="1970-01-01"/>
    <s v="2026-05-27"/>
    <x v="233"/>
    <n v="6"/>
    <s v="2026WR-V PRESTIGE"/>
    <x v="14"/>
    <s v="93HDG5840TK502658"/>
    <n v="92047244"/>
    <n v="83000"/>
    <n v="83302756"/>
    <n v="116900000"/>
    <s v="9%"/>
    <n v="67063150"/>
    <n v="920472"/>
    <n v="0"/>
    <n v="9.9999952198460175E-3"/>
    <m/>
    <s v="COMISION AL 100%"/>
  </r>
  <r>
    <s v="2026/05/31"/>
    <s v="Mayo"/>
    <s v="Honda "/>
    <x v="8"/>
    <x v="36"/>
    <x v="38"/>
    <s v="VITRINA"/>
    <n v="27065267"/>
    <s v="VKP 91753"/>
    <s v="2026-05-26"/>
    <s v="1970-01-01"/>
    <s v="2026-05-27"/>
    <x v="234"/>
    <n v="6"/>
    <s v="2026WR-V PRESTIGE"/>
    <x v="14"/>
    <s v="93HDG5840TK502662"/>
    <n v="88110236"/>
    <n v="83000"/>
    <n v="83302756"/>
    <n v="111900000"/>
    <s v="5%"/>
    <n v="24115200"/>
    <n v="881102"/>
    <n v="0"/>
    <n v="9.9999959142091054E-3"/>
    <m/>
    <s v="COMISION AL 100%"/>
  </r>
  <r>
    <s v="2026/05/31"/>
    <s v="Mayo"/>
    <s v="Honda "/>
    <x v="8"/>
    <x v="36"/>
    <x v="38"/>
    <s v="VITRINA"/>
    <n v="27065509"/>
    <s v="VKP 91755"/>
    <s v="2026-05-26"/>
    <s v="1970-01-01"/>
    <s v="2026-05-27"/>
    <x v="234"/>
    <n v="6"/>
    <s v="2026WR-V PRESTIGE"/>
    <x v="14"/>
    <s v="93HDG5840TK502665"/>
    <n v="88110236"/>
    <n v="83000"/>
    <n v="83302756"/>
    <n v="111900000"/>
    <s v="5%"/>
    <n v="24115200"/>
    <n v="881102"/>
    <n v="0"/>
    <n v="9.9999959142091054E-3"/>
    <m/>
    <s v="COMISION AL 100%"/>
  </r>
  <r>
    <s v="2026/05/31"/>
    <s v="Mayo"/>
    <s v="Honda "/>
    <x v="8"/>
    <x v="36"/>
    <x v="38"/>
    <s v="VITRINA"/>
    <n v="27045680"/>
    <s v="VKP 91672"/>
    <s v="2026-05-09"/>
    <s v="1970-01-01"/>
    <s v="2026-05-15"/>
    <x v="235"/>
    <n v="6"/>
    <s v="2026HR-V EXL PRESTIGE 2WD"/>
    <x v="15"/>
    <s v="93HRV3860TK302580"/>
    <n v="98346457"/>
    <n v="83000"/>
    <n v="89495276"/>
    <n v="124900000"/>
    <s v="9%"/>
    <n v="0"/>
    <n v="983465"/>
    <n v="983465"/>
    <n v="1.0000004372297824E-2"/>
    <m/>
    <s v="COMISION AL 100%"/>
  </r>
  <r>
    <s v="2026/05/31"/>
    <s v="Mayo"/>
    <s v="Kia "/>
    <x v="9"/>
    <x v="37"/>
    <x v="39"/>
    <s v="VITRINA"/>
    <n v="27044780"/>
    <s v="VKP 91675"/>
    <s v="2026-05-11"/>
    <s v="2026-05-29"/>
    <s v="2026-05-20"/>
    <x v="236"/>
    <n v="8"/>
    <s v="2027BL1A70__24G1601"/>
    <x v="1"/>
    <s v="3KPFE41ABVE181438"/>
    <n v="83259843"/>
    <n v="1431000"/>
    <n v="76873753"/>
    <n v="105740001"/>
    <s v="8%"/>
    <n v="0"/>
    <n v="707709"/>
    <n v="707709"/>
    <n v="8.5000040175430072E-3"/>
    <m/>
    <s v="COMISION AL 100%"/>
  </r>
  <r>
    <s v="2026/05/31"/>
    <s v="Mayo"/>
    <s v="Kia "/>
    <x v="9"/>
    <x v="37"/>
    <x v="39"/>
    <s v="VITRINA"/>
    <n v="27032544"/>
    <s v="VKP 91664"/>
    <s v="2026-04-30"/>
    <s v="2026-05-23"/>
    <s v="2026-05-12"/>
    <x v="237"/>
    <n v="8"/>
    <s v="2027BL1A40__25G1600"/>
    <x v="9"/>
    <s v="3KPFF51ABVE180636"/>
    <n v="70661417"/>
    <n v="1431000"/>
    <n v="64603412"/>
    <n v="89740000"/>
    <s v="9%"/>
    <n v="0"/>
    <n v="600622"/>
    <n v="600622"/>
    <n v="8.4999993702362352E-3"/>
    <m/>
    <s v="COMISION AL 100%"/>
  </r>
  <r>
    <s v="2026/05/31"/>
    <s v="Mayo"/>
    <s v="Kia "/>
    <x v="9"/>
    <x v="37"/>
    <x v="39"/>
    <s v="VITRINA"/>
    <n v="26976248"/>
    <s v="VKP 91727"/>
    <s v="2026-05-23"/>
    <s v="1970-01-01"/>
    <s v="2026-05-28"/>
    <x v="238"/>
    <n v="8"/>
    <s v="2027JA3M20__25G1002"/>
    <x v="2"/>
    <s v="KNAB2511AVT514516"/>
    <n v="45661417"/>
    <n v="695700"/>
    <n v="41856299"/>
    <n v="57990000"/>
    <s v="8%"/>
    <n v="0"/>
    <n v="388122"/>
    <n v="388122"/>
    <n v="8.4999990254354136E-3"/>
    <m/>
    <s v="COMISION AL 100%"/>
  </r>
  <r>
    <s v="2026/05/31"/>
    <s v="Mayo"/>
    <s v="Kia "/>
    <x v="9"/>
    <x v="37"/>
    <x v="39"/>
    <s v="VITRINA"/>
    <n v="27015370"/>
    <s v="VKP 91728"/>
    <s v="2026-05-23"/>
    <s v="1970-01-01"/>
    <s v="2026-05-28"/>
    <x v="239"/>
    <n v="8"/>
    <s v="2027JA3M20__25G1002"/>
    <x v="2"/>
    <s v="KNAB2511AVT514564"/>
    <n v="45661417"/>
    <n v="695700"/>
    <n v="41856299"/>
    <n v="57990000"/>
    <s v="8%"/>
    <n v="57990000"/>
    <n v="388122"/>
    <n v="0"/>
    <n v="8.4999990254354136E-3"/>
    <m/>
    <s v="COMISION AL 100%"/>
  </r>
  <r>
    <s v="2026/05/31"/>
    <s v="Mayo"/>
    <s v="Kia "/>
    <x v="9"/>
    <x v="37"/>
    <x v="39"/>
    <s v="VITRINA"/>
    <n v="27073752"/>
    <s v="VKP 91723"/>
    <s v="2026-05-22"/>
    <s v="1970-01-01"/>
    <s v="2026-05-28"/>
    <x v="240"/>
    <n v="8"/>
    <s v="2027JA3M20__25G1002"/>
    <x v="2"/>
    <s v="KNAB2511AVT514846"/>
    <n v="45661417"/>
    <n v="695700"/>
    <n v="41856299"/>
    <n v="57990000"/>
    <s v="8%"/>
    <n v="0"/>
    <n v="388122"/>
    <n v="388122"/>
    <n v="8.4999990254354136E-3"/>
    <m/>
    <s v="COMISION AL 100%"/>
  </r>
  <r>
    <s v="2026/05/31"/>
    <s v="Mayo"/>
    <s v="Kia "/>
    <x v="9"/>
    <x v="37"/>
    <x v="39"/>
    <s v="REFERIDO"/>
    <n v="27069103"/>
    <s v="VKP 91711"/>
    <s v="2026-05-21"/>
    <s v="1970-01-01"/>
    <s v="2026-05-28"/>
    <x v="241"/>
    <n v="8"/>
    <s v="2026SG1A45__25H1600"/>
    <x v="28"/>
    <s v="KNACR81EGT5333496"/>
    <n v="124106195"/>
    <n v="1464000"/>
    <n v="119461062"/>
    <n v="140240000"/>
    <s v="4%"/>
    <n v="0"/>
    <n v="1054903"/>
    <n v="1054903"/>
    <n v="8.5000027597333071E-3"/>
    <m/>
    <s v="COMISION AL 100%"/>
  </r>
  <r>
    <s v="2026/05/31"/>
    <s v="Mayo"/>
    <s v="Kia "/>
    <x v="9"/>
    <x v="37"/>
    <x v="39"/>
    <s v="VITRINA"/>
    <n v="27072275"/>
    <s v="VKP 91722"/>
    <s v="2026-05-22"/>
    <s v="1970-01-01"/>
    <s v="2026-05-28"/>
    <x v="242"/>
    <n v="8"/>
    <s v="2027YB2A31__25H1000"/>
    <x v="17"/>
    <s v="KNADA817GVT100864"/>
    <n v="81250089"/>
    <n v="989000"/>
    <n v="79564910"/>
    <n v="91812601"/>
    <s v="2%"/>
    <n v="0"/>
    <n v="690626"/>
    <n v="690626"/>
    <n v="8.5000029969197945E-3"/>
    <m/>
    <s v="COMISION AL 100%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D" cacheId="116" applyNumberFormats="0" applyBorderFormats="0" applyFontFormats="0" applyPatternFormats="0" applyAlignmentFormats="0" applyWidthHeightFormats="0" dataCaption="" updatedVersion="8" compact="0" compactData="0">
  <location ref="A3:B14" firstHeaderRow="1" firstDataRow="1" firstDataCol="1"/>
  <pivotFields count="27">
    <pivotField name="Fecha Comision" compact="0" outline="0" multipleItemSelectionAllowed="1" showAll="0"/>
    <pivotField name="Mes" compact="0" outline="0" multipleItemSelectionAllowed="1" showAll="0"/>
    <pivotField name="Marca" compact="0" outline="0" multipleItemSelectionAllowed="1" showAll="0"/>
    <pivotField name="Concesionario" axis="axisRow" compact="0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endedor" compact="0" outline="0" multipleItemSelectionAllowed="1" showAll="0"/>
    <pivotField name="Cod. Vendedor" compact="0" outline="0" multipleItemSelectionAllowed="1" showAll="0"/>
    <pivotField name="Origen" compact="0" outline="0" multipleItemSelectionAllowed="1" showAll="0"/>
    <pivotField name="Referencia" compact="0" outline="0" multipleItemSelectionAllowed="1" showAll="0"/>
    <pivotField name="Factura" compact="0" outline="0" multipleItemSelectionAllowed="1" showAll="0"/>
    <pivotField name="Fecha Factura" compact="0" outline="0" multipleItemSelectionAllowed="1" showAll="0"/>
    <pivotField name="Fecha Entrega" compact="0" outline="0" multipleItemSelectionAllowed="1" showAll="0"/>
    <pivotField name="Fecha Matricula" compact="0" outline="0" multipleItemSelectionAllowed="1" showAll="0"/>
    <pivotField name="Cliente" compact="0" outline="0" multipleItemSelectionAllowed="1" showAll="0"/>
    <pivotField name="Matriculados" compact="0" outline="0" multipleItemSelectionAllowed="1" showAll="0"/>
    <pivotField name="Cod. Modelo" compact="0" outline="0" multipleItemSelectionAllowed="1" showAll="0"/>
    <pivotField name="Modelo" compact="0" outline="0" multipleItemSelectionAllowed="1" showAll="0"/>
    <pivotField name="VIN" compact="0" outline="0" multipleItemSelectionAllowed="1" showAll="0"/>
    <pivotField name="Valor Venta" compact="0" numFmtId="164" outline="0" multipleItemSelectionAllowed="1" showAll="0"/>
    <pivotField name="Obsequios" compact="0" numFmtId="164" outline="0" multipleItemSelectionAllowed="1" showAll="0"/>
    <pivotField name="Costo Total" compact="0" numFmtId="164" outline="0" multipleItemSelectionAllowed="1" showAll="0"/>
    <pivotField name="Costo iva" compact="0" numFmtId="164" outline="0" multipleItemSelectionAllowed="1" showAll="0"/>
    <pivotField name="Margen" compact="0" numFmtId="10" outline="0" multipleItemSelectionAllowed="1" showAll="0"/>
    <pivotField name="Saldo Pendiente" compact="0" numFmtId="164" outline="0" multipleItemSelectionAllowed="1" showAll="0"/>
    <pivotField name="Comision 100 %" compact="0" numFmtId="164" outline="0" multipleItemSelectionAllowed="1" showAll="0"/>
    <pivotField name="% Comision" dataField="1" compact="0" numFmtId="10" outline="0" multipleItemSelectionAllowed="1" showAll="0"/>
    <pivotField name="Comision Real" compact="0" numFmtId="164" outline="0" multipleItemSelectionAllowed="1" showAll="0"/>
    <pivotField name="Bono" compact="0" outline="0" multipleItemSelectionAllowe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Promedio de % Comision" fld="2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D." cacheId="159" applyNumberFormats="0" applyBorderFormats="0" applyFontFormats="0" applyPatternFormats="0" applyAlignmentFormats="0" applyWidthHeightFormats="0" dataCaption="" updatedVersion="8" compact="0" compactData="0">
  <location ref="A3:F341" firstHeaderRow="1" firstDataRow="1" firstDataCol="5"/>
  <pivotFields count="28">
    <pivotField name="Fecha Comision" compact="0" outline="0" multipleItemSelectionAllowed="1" showAll="0"/>
    <pivotField name="Mes" compact="0" outline="0" multipleItemSelectionAllowed="1" showAll="0"/>
    <pivotField name="Marca" compact="0" outline="0" multipleItemSelectionAllowed="1" showAll="0"/>
    <pivotField name="Concesionario" axis="axisRow" compact="0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endedor" axis="axisRow" compact="0" outline="0" multipleItemSelectionAllowed="1" showAll="0" sortType="ascending">
      <items count="39">
        <item x="23"/>
        <item x="0"/>
        <item x="7"/>
        <item x="14"/>
        <item x="8"/>
        <item x="24"/>
        <item x="11"/>
        <item x="25"/>
        <item x="15"/>
        <item x="37"/>
        <item x="16"/>
        <item x="1"/>
        <item x="2"/>
        <item x="26"/>
        <item x="3"/>
        <item x="17"/>
        <item x="35"/>
        <item x="27"/>
        <item x="18"/>
        <item x="19"/>
        <item x="36"/>
        <item x="28"/>
        <item x="9"/>
        <item x="29"/>
        <item x="30"/>
        <item x="31"/>
        <item x="4"/>
        <item x="5"/>
        <item x="6"/>
        <item x="32"/>
        <item x="20"/>
        <item x="10"/>
        <item x="12"/>
        <item x="33"/>
        <item x="34"/>
        <item x="13"/>
        <item x="21"/>
        <item x="22"/>
        <item t="default"/>
      </items>
    </pivotField>
    <pivotField name="Cod. Vendedor" axis="axisRow" compact="0" outline="0" multipleItemSelectionAllowed="1" showAll="0">
      <items count="41">
        <item x="4"/>
        <item x="15"/>
        <item x="28"/>
        <item x="1"/>
        <item x="33"/>
        <item x="16"/>
        <item x="20"/>
        <item x="13"/>
        <item x="17"/>
        <item x="27"/>
        <item x="2"/>
        <item x="11"/>
        <item x="36"/>
        <item x="14"/>
        <item x="39"/>
        <item x="22"/>
        <item x="0"/>
        <item x="6"/>
        <item x="31"/>
        <item x="9"/>
        <item x="38"/>
        <item x="12"/>
        <item x="37"/>
        <item x="26"/>
        <item x="3"/>
        <item x="7"/>
        <item x="8"/>
        <item x="24"/>
        <item x="35"/>
        <item x="25"/>
        <item x="34"/>
        <item x="30"/>
        <item x="29"/>
        <item x="5"/>
        <item x="19"/>
        <item x="21"/>
        <item x="10"/>
        <item x="32"/>
        <item x="18"/>
        <item x="23"/>
        <item t="default"/>
      </items>
    </pivotField>
    <pivotField name="Origen" compact="0" outline="0" multipleItemSelectionAllowed="1" showAll="0"/>
    <pivotField name="Referencia" compact="0" outline="0" multipleItemSelectionAllowed="1" showAll="0"/>
    <pivotField name="Factura" compact="0" outline="0" multipleItemSelectionAllowed="1" showAll="0"/>
    <pivotField name="Fecha Factura" compact="0" outline="0" multipleItemSelectionAllowed="1" showAll="0"/>
    <pivotField name="Fecha Entrega" compact="0" outline="0" multipleItemSelectionAllowed="1" showAll="0"/>
    <pivotField name="Fecha Matricula" compact="0" outline="0" multipleItemSelectionAllowed="1" showAll="0"/>
    <pivotField name="Cliente" axis="axisRow" compact="0" outline="0" multipleItemSelectionAllowed="1" showAll="0" sortType="ascending">
      <items count="244">
        <item x="179"/>
        <item x="165"/>
        <item x="52"/>
        <item x="114"/>
        <item x="124"/>
        <item x="139"/>
        <item x="90"/>
        <item x="190"/>
        <item x="75"/>
        <item x="64"/>
        <item x="155"/>
        <item x="233"/>
        <item x="153"/>
        <item x="130"/>
        <item x="87"/>
        <item x="4"/>
        <item x="100"/>
        <item x="228"/>
        <item x="195"/>
        <item x="40"/>
        <item x="141"/>
        <item x="144"/>
        <item x="2"/>
        <item x="14"/>
        <item x="8"/>
        <item x="26"/>
        <item x="199"/>
        <item x="118"/>
        <item x="135"/>
        <item x="102"/>
        <item x="123"/>
        <item x="127"/>
        <item x="46"/>
        <item x="94"/>
        <item x="131"/>
        <item x="101"/>
        <item x="92"/>
        <item x="158"/>
        <item x="193"/>
        <item x="187"/>
        <item x="147"/>
        <item x="70"/>
        <item x="37"/>
        <item x="35"/>
        <item x="216"/>
        <item x="156"/>
        <item x="148"/>
        <item x="138"/>
        <item x="140"/>
        <item x="38"/>
        <item x="67"/>
        <item x="142"/>
        <item x="96"/>
        <item x="210"/>
        <item x="129"/>
        <item x="65"/>
        <item x="80"/>
        <item x="215"/>
        <item x="171"/>
        <item x="41"/>
        <item x="231"/>
        <item x="59"/>
        <item x="126"/>
        <item x="154"/>
        <item x="91"/>
        <item x="0"/>
        <item x="117"/>
        <item x="222"/>
        <item x="238"/>
        <item x="86"/>
        <item x="74"/>
        <item x="219"/>
        <item x="121"/>
        <item x="200"/>
        <item x="19"/>
        <item x="16"/>
        <item x="122"/>
        <item x="79"/>
        <item x="43"/>
        <item x="98"/>
        <item x="145"/>
        <item x="234"/>
        <item x="73"/>
        <item x="29"/>
        <item x="119"/>
        <item x="206"/>
        <item x="157"/>
        <item x="174"/>
        <item x="183"/>
        <item x="54"/>
        <item x="116"/>
        <item x="162"/>
        <item x="42"/>
        <item x="237"/>
        <item x="32"/>
        <item x="24"/>
        <item x="105"/>
        <item x="99"/>
        <item x="235"/>
        <item x="58"/>
        <item x="223"/>
        <item x="198"/>
        <item x="30"/>
        <item x="226"/>
        <item x="181"/>
        <item x="146"/>
        <item x="225"/>
        <item x="13"/>
        <item x="20"/>
        <item x="163"/>
        <item x="160"/>
        <item x="60"/>
        <item x="229"/>
        <item x="230"/>
        <item x="47"/>
        <item x="109"/>
        <item x="202"/>
        <item x="182"/>
        <item x="111"/>
        <item x="108"/>
        <item x="17"/>
        <item x="192"/>
        <item x="15"/>
        <item x="36"/>
        <item x="196"/>
        <item x="169"/>
        <item x="89"/>
        <item x="95"/>
        <item x="159"/>
        <item x="134"/>
        <item x="170"/>
        <item x="3"/>
        <item x="7"/>
        <item x="232"/>
        <item x="204"/>
        <item x="31"/>
        <item x="66"/>
        <item x="28"/>
        <item x="112"/>
        <item x="39"/>
        <item x="133"/>
        <item x="224"/>
        <item x="106"/>
        <item x="217"/>
        <item x="176"/>
        <item x="212"/>
        <item x="85"/>
        <item x="191"/>
        <item x="143"/>
        <item x="45"/>
        <item x="120"/>
        <item x="151"/>
        <item x="77"/>
        <item x="150"/>
        <item x="189"/>
        <item x="208"/>
        <item x="125"/>
        <item x="76"/>
        <item x="6"/>
        <item x="97"/>
        <item x="88"/>
        <item x="136"/>
        <item x="53"/>
        <item x="177"/>
        <item x="172"/>
        <item x="178"/>
        <item x="23"/>
        <item x="78"/>
        <item x="128"/>
        <item x="107"/>
        <item x="103"/>
        <item x="1"/>
        <item x="137"/>
        <item x="71"/>
        <item x="12"/>
        <item x="211"/>
        <item x="203"/>
        <item x="227"/>
        <item x="55"/>
        <item x="209"/>
        <item x="164"/>
        <item x="113"/>
        <item x="34"/>
        <item x="63"/>
        <item x="83"/>
        <item x="218"/>
        <item x="110"/>
        <item x="56"/>
        <item x="68"/>
        <item x="175"/>
        <item x="50"/>
        <item x="185"/>
        <item x="33"/>
        <item x="57"/>
        <item x="25"/>
        <item x="72"/>
        <item x="149"/>
        <item x="11"/>
        <item x="10"/>
        <item x="205"/>
        <item x="167"/>
        <item x="49"/>
        <item x="213"/>
        <item x="104"/>
        <item x="184"/>
        <item x="214"/>
        <item x="51"/>
        <item x="27"/>
        <item x="62"/>
        <item x="82"/>
        <item x="93"/>
        <item x="188"/>
        <item x="168"/>
        <item x="132"/>
        <item x="201"/>
        <item x="161"/>
        <item x="115"/>
        <item x="18"/>
        <item x="84"/>
        <item x="21"/>
        <item x="5"/>
        <item x="9"/>
        <item x="152"/>
        <item x="236"/>
        <item x="197"/>
        <item x="242"/>
        <item x="180"/>
        <item x="69"/>
        <item x="44"/>
        <item x="61"/>
        <item x="22"/>
        <item x="220"/>
        <item x="48"/>
        <item x="239"/>
        <item x="81"/>
        <item x="241"/>
        <item x="221"/>
        <item x="186"/>
        <item x="240"/>
        <item x="207"/>
        <item x="194"/>
        <item x="166"/>
        <item x="173"/>
        <item t="default"/>
      </items>
    </pivotField>
    <pivotField name="Matriculados" compact="0" outline="0" multipleItemSelectionAllowed="1" showAll="0"/>
    <pivotField name="Cod. Modelo" compact="0" outline="0" multipleItemSelectionAllowed="1" showAll="0"/>
    <pivotField name="Modelo" axis="axisRow" compact="0" outline="0" multipleItemSelectionAllowed="1" showAll="0" sortType="ascending" defaultSubtotal="0">
      <items count="29">
        <item x="27"/>
        <item x="21"/>
        <item x="15"/>
        <item x="0"/>
        <item x="9"/>
        <item x="8"/>
        <item x="11"/>
        <item x="13"/>
        <item x="1"/>
        <item x="16"/>
        <item x="5"/>
        <item x="28"/>
        <item x="12"/>
        <item x="2"/>
        <item x="6"/>
        <item x="20"/>
        <item x="23"/>
        <item x="25"/>
        <item x="10"/>
        <item x="7"/>
        <item x="19"/>
        <item x="22"/>
        <item x="4"/>
        <item x="18"/>
        <item x="17"/>
        <item x="24"/>
        <item x="3"/>
        <item x="26"/>
        <item x="14"/>
      </items>
    </pivotField>
    <pivotField name="VIN" compact="0" outline="0" multipleItemSelectionAllowed="1" showAll="0"/>
    <pivotField name="Valor Venta" compact="0" numFmtId="164" outline="0" multipleItemSelectionAllowed="1" showAll="0"/>
    <pivotField name="Obsequios" compact="0" numFmtId="164" outline="0" multipleItemSelectionAllowed="1" showAll="0"/>
    <pivotField name="Costo Total" compact="0" numFmtId="164" outline="0" multipleItemSelectionAllowed="1" showAll="0"/>
    <pivotField name="Costo iva" compact="0" numFmtId="164" outline="0" multipleItemSelectionAllowed="1" showAll="0"/>
    <pivotField name="Margen" compact="0" numFmtId="10" outline="0" multipleItemSelectionAllowed="1" showAll="0"/>
    <pivotField name="Saldo Pendiente" compact="0" numFmtId="164" outline="0" multipleItemSelectionAllowed="1" showAll="0"/>
    <pivotField name="Comision 100 %" compact="0" numFmtId="164" outline="0" multipleItemSelectionAllowed="1" showAll="0"/>
    <pivotField name="Comision Real" dataField="1" compact="0" numFmtId="164" outline="0" multipleItemSelectionAllowed="1" showAll="0"/>
    <pivotField name="% Comision" compact="0" numFmtId="10" outline="0" multipleItemSelectionAllowed="1" showAll="0"/>
    <pivotField name="Bono" compact="0" outline="0" multipleItemSelectionAllowed="1" showAll="0"/>
    <pivotField compact="0" outline="0" showAll="0" includeNewItemsInFilter="1"/>
  </pivotFields>
  <rowFields count="5">
    <field x="3"/>
    <field x="5"/>
    <field x="4"/>
    <field x="15"/>
    <field x="12"/>
  </rowFields>
  <rowItems count="338">
    <i>
      <x/>
      <x/>
      <x v="26"/>
      <x v="3"/>
      <x v="166"/>
    </i>
    <i r="4">
      <x v="230"/>
    </i>
    <i r="3">
      <x v="4"/>
      <x v="25"/>
    </i>
    <i r="3">
      <x v="5"/>
      <x v="95"/>
    </i>
    <i r="3">
      <x v="6"/>
      <x v="194"/>
    </i>
    <i r="3">
      <x v="12"/>
      <x v="102"/>
    </i>
    <i r="3">
      <x v="13"/>
      <x v="137"/>
    </i>
    <i r="4">
      <x v="207"/>
    </i>
    <i r="3">
      <x v="14"/>
      <x v="83"/>
    </i>
    <i r="3">
      <x v="22"/>
      <x v="94"/>
    </i>
    <i r="4">
      <x v="135"/>
    </i>
    <i t="default" r="2">
      <x v="26"/>
    </i>
    <i t="default" r="1">
      <x/>
    </i>
    <i r="1">
      <x v="3"/>
      <x v="11"/>
      <x v="10"/>
      <x v="24"/>
    </i>
    <i r="3">
      <x v="13"/>
      <x v="198"/>
    </i>
    <i r="4">
      <x v="221"/>
    </i>
    <i r="3">
      <x v="26"/>
      <x v="197"/>
    </i>
    <i t="default" r="2">
      <x v="11"/>
    </i>
    <i t="default" r="1">
      <x v="3"/>
    </i>
    <i r="1">
      <x v="10"/>
      <x v="12"/>
      <x v="14"/>
      <x v="174"/>
    </i>
    <i r="3">
      <x v="19"/>
      <x v="107"/>
    </i>
    <i t="default" r="2">
      <x v="12"/>
    </i>
    <i t="default" r="1">
      <x v="10"/>
    </i>
    <i r="1">
      <x v="16"/>
      <x v="1"/>
      <x v="3"/>
      <x v="22"/>
    </i>
    <i r="4">
      <x v="65"/>
    </i>
    <i r="4">
      <x v="171"/>
    </i>
    <i r="3">
      <x v="8"/>
      <x v="131"/>
    </i>
    <i r="3">
      <x v="13"/>
      <x v="15"/>
    </i>
    <i r="4">
      <x v="220"/>
    </i>
    <i r="3">
      <x v="22"/>
      <x v="132"/>
    </i>
    <i r="3">
      <x v="26"/>
      <x v="158"/>
    </i>
    <i t="default" r="2">
      <x v="1"/>
    </i>
    <i t="default" r="1">
      <x v="16"/>
    </i>
    <i r="1">
      <x v="24"/>
      <x v="14"/>
      <x v="4"/>
      <x v="122"/>
    </i>
    <i r="3">
      <x v="5"/>
      <x v="23"/>
    </i>
    <i r="3">
      <x v="13"/>
      <x v="75"/>
    </i>
    <i r="4">
      <x v="120"/>
    </i>
    <i r="4">
      <x v="217"/>
    </i>
    <i r="3">
      <x v="14"/>
      <x v="74"/>
    </i>
    <i r="4">
      <x v="108"/>
    </i>
    <i r="3">
      <x v="18"/>
      <x v="219"/>
    </i>
    <i t="default" r="2">
      <x v="14"/>
    </i>
    <i t="default" r="1">
      <x v="24"/>
    </i>
    <i r="1">
      <x v="33"/>
      <x v="27"/>
      <x v="5"/>
      <x v="182"/>
    </i>
    <i r="3">
      <x v="6"/>
      <x v="43"/>
    </i>
    <i r="3">
      <x v="7"/>
      <x v="192"/>
    </i>
    <i r="3">
      <x v="13"/>
      <x v="123"/>
    </i>
    <i r="3">
      <x v="14"/>
      <x v="42"/>
    </i>
    <i r="3">
      <x v="26"/>
      <x v="49"/>
    </i>
    <i t="default" r="2">
      <x v="27"/>
    </i>
    <i t="default" r="1">
      <x v="33"/>
    </i>
    <i t="default">
      <x/>
    </i>
    <i>
      <x v="1"/>
      <x v="17"/>
      <x v="28"/>
      <x v="2"/>
      <x v="59"/>
    </i>
    <i r="3">
      <x v="28"/>
      <x v="19"/>
    </i>
    <i r="4">
      <x v="139"/>
    </i>
    <i t="default" r="2">
      <x v="28"/>
    </i>
    <i t="default" r="1">
      <x v="17"/>
    </i>
    <i t="default">
      <x v="1"/>
    </i>
    <i>
      <x v="2"/>
      <x v="19"/>
      <x v="22"/>
      <x v="3"/>
      <x v="206"/>
    </i>
    <i r="3">
      <x v="13"/>
      <x v="2"/>
    </i>
    <i r="3">
      <x v="26"/>
      <x v="162"/>
    </i>
    <i t="default" r="2">
      <x v="22"/>
    </i>
    <i t="default" r="1">
      <x v="19"/>
    </i>
    <i r="1">
      <x v="25"/>
      <x v="2"/>
      <x v="6"/>
      <x v="78"/>
    </i>
    <i r="4">
      <x v="228"/>
    </i>
    <i r="3">
      <x v="9"/>
      <x v="92"/>
    </i>
    <i r="3">
      <x v="13"/>
      <x v="32"/>
    </i>
    <i r="4">
      <x v="149"/>
    </i>
    <i r="3">
      <x v="23"/>
      <x v="201"/>
    </i>
    <i r="3">
      <x v="24"/>
      <x v="114"/>
    </i>
    <i r="4">
      <x v="232"/>
    </i>
    <i t="default" r="2">
      <x v="2"/>
    </i>
    <i t="default" r="1">
      <x v="25"/>
    </i>
    <i r="1">
      <x v="26"/>
      <x v="4"/>
      <x v="20"/>
      <x v="190"/>
    </i>
    <i t="default" r="2">
      <x v="4"/>
    </i>
    <i t="default" r="1">
      <x v="26"/>
    </i>
    <i r="1">
      <x v="36"/>
      <x v="31"/>
      <x v="6"/>
      <x v="89"/>
    </i>
    <i r="3">
      <x v="13"/>
      <x v="178"/>
    </i>
    <i t="default" r="2">
      <x v="31"/>
    </i>
    <i t="default" r="1">
      <x v="36"/>
    </i>
    <i t="default">
      <x v="2"/>
    </i>
    <i>
      <x v="3"/>
      <x v="7"/>
      <x v="35"/>
      <x v="9"/>
      <x v="70"/>
    </i>
    <i r="3">
      <x v="19"/>
      <x v="77"/>
    </i>
    <i r="3">
      <x v="21"/>
      <x v="167"/>
    </i>
    <i r="3">
      <x v="22"/>
      <x v="152"/>
    </i>
    <i r="3">
      <x v="24"/>
      <x v="8"/>
    </i>
    <i r="4">
      <x v="157"/>
    </i>
    <i t="default" r="2">
      <x v="35"/>
    </i>
    <i t="default" r="1">
      <x v="7"/>
    </i>
    <i r="1">
      <x v="11"/>
      <x v="6"/>
      <x v="3"/>
      <x v="187"/>
    </i>
    <i r="3">
      <x v="5"/>
      <x v="193"/>
    </i>
    <i r="3">
      <x v="6"/>
      <x v="99"/>
    </i>
    <i r="3">
      <x v="13"/>
      <x v="61"/>
    </i>
    <i r="4">
      <x v="111"/>
    </i>
    <i r="4">
      <x v="208"/>
    </i>
    <i r="4">
      <x v="229"/>
    </i>
    <i r="3">
      <x v="14"/>
      <x v="183"/>
    </i>
    <i r="3">
      <x v="20"/>
      <x v="55"/>
    </i>
    <i r="3">
      <x v="22"/>
      <x v="9"/>
    </i>
    <i t="default" r="2">
      <x v="6"/>
    </i>
    <i t="default" r="1">
      <x v="11"/>
    </i>
    <i r="1">
      <x v="21"/>
      <x v="32"/>
      <x v="1"/>
      <x v="82"/>
    </i>
    <i r="3">
      <x v="5"/>
      <x v="195"/>
    </i>
    <i r="3">
      <x v="6"/>
      <x v="50"/>
    </i>
    <i r="4">
      <x v="136"/>
    </i>
    <i r="3">
      <x v="13"/>
      <x v="188"/>
    </i>
    <i r="3">
      <x v="14"/>
      <x v="227"/>
    </i>
    <i r="3">
      <x v="15"/>
      <x v="41"/>
    </i>
    <i r="3">
      <x v="20"/>
      <x v="173"/>
    </i>
    <i t="default" r="2">
      <x v="32"/>
    </i>
    <i t="default" r="1">
      <x v="21"/>
    </i>
    <i t="default">
      <x v="3"/>
    </i>
    <i>
      <x v="4"/>
      <x v="1"/>
      <x v="8"/>
      <x v="4"/>
      <x v="160"/>
    </i>
    <i r="3">
      <x v="5"/>
      <x v="69"/>
    </i>
    <i r="3">
      <x v="6"/>
      <x v="14"/>
    </i>
    <i r="3">
      <x v="9"/>
      <x v="146"/>
    </i>
    <i r="3">
      <x v="14"/>
      <x v="126"/>
    </i>
    <i r="3">
      <x v="19"/>
      <x v="64"/>
    </i>
    <i r="3">
      <x v="23"/>
      <x v="6"/>
    </i>
    <i t="default" r="2">
      <x v="8"/>
    </i>
    <i t="default" r="1">
      <x v="1"/>
    </i>
    <i r="1">
      <x v="5"/>
      <x v="10"/>
      <x v="1"/>
      <x v="36"/>
    </i>
    <i r="3">
      <x v="19"/>
      <x v="33"/>
    </i>
    <i r="3">
      <x v="22"/>
      <x v="210"/>
    </i>
    <i t="default" r="2">
      <x v="10"/>
    </i>
    <i t="default" r="1">
      <x v="5"/>
    </i>
    <i r="1">
      <x v="6"/>
      <x v="19"/>
      <x v="3"/>
      <x v="203"/>
    </i>
    <i r="3">
      <x v="5"/>
      <x v="96"/>
    </i>
    <i r="3">
      <x v="9"/>
      <x v="170"/>
    </i>
    <i r="3">
      <x v="19"/>
      <x v="186"/>
    </i>
    <i r="3">
      <x v="20"/>
      <x v="118"/>
    </i>
    <i r="3">
      <x v="22"/>
      <x v="142"/>
    </i>
    <i r="3">
      <x v="23"/>
      <x v="115"/>
    </i>
    <i r="4">
      <x v="119"/>
    </i>
    <i r="4">
      <x v="169"/>
    </i>
    <i t="default" r="2">
      <x v="19"/>
    </i>
    <i t="default" r="1">
      <x v="6"/>
    </i>
    <i r="1">
      <x v="8"/>
      <x v="15"/>
      <x v="3"/>
      <x v="127"/>
    </i>
    <i r="3">
      <x v="4"/>
      <x v="52"/>
    </i>
    <i r="3">
      <x v="13"/>
      <x v="159"/>
    </i>
    <i r="3">
      <x v="14"/>
      <x v="79"/>
    </i>
    <i r="3">
      <x v="22"/>
      <x v="97"/>
    </i>
    <i t="default" r="2">
      <x v="15"/>
    </i>
    <i t="default" r="1">
      <x v="8"/>
    </i>
    <i r="1">
      <x v="13"/>
      <x v="3"/>
      <x v="4"/>
      <x v="234"/>
    </i>
    <i r="3">
      <x v="10"/>
      <x v="56"/>
    </i>
    <i r="3">
      <x v="14"/>
      <x v="184"/>
    </i>
    <i r="4">
      <x v="209"/>
    </i>
    <i r="3">
      <x v="19"/>
      <x v="218"/>
    </i>
    <i t="default" r="2">
      <x v="3"/>
    </i>
    <i t="default" r="1">
      <x v="13"/>
    </i>
    <i r="1">
      <x v="15"/>
      <x v="36"/>
      <x v="4"/>
      <x v="66"/>
    </i>
    <i r="3">
      <x v="5"/>
      <x v="216"/>
    </i>
    <i r="3">
      <x v="6"/>
      <x v="90"/>
    </i>
    <i r="3">
      <x v="9"/>
      <x v="3"/>
    </i>
    <i r="3">
      <x v="13"/>
      <x v="27"/>
    </i>
    <i r="3">
      <x v="14"/>
      <x v="84"/>
    </i>
    <i r="3">
      <x v="19"/>
      <x v="150"/>
    </i>
    <i t="default" r="2">
      <x v="36"/>
    </i>
    <i t="default" r="1">
      <x v="15"/>
    </i>
    <i r="1">
      <x v="27"/>
      <x v="37"/>
      <x v="3"/>
      <x v="76"/>
    </i>
    <i r="3">
      <x v="4"/>
      <x v="156"/>
    </i>
    <i r="3">
      <x v="5"/>
      <x v="4"/>
    </i>
    <i r="3">
      <x v="6"/>
      <x v="62"/>
    </i>
    <i r="3">
      <x v="8"/>
      <x v="30"/>
    </i>
    <i r="3">
      <x v="13"/>
      <x v="31"/>
    </i>
    <i r="3">
      <x v="18"/>
      <x v="13"/>
    </i>
    <i r="3">
      <x v="24"/>
      <x v="54"/>
    </i>
    <i r="3">
      <x v="26"/>
      <x v="168"/>
    </i>
    <i t="default" r="2">
      <x v="37"/>
    </i>
    <i t="default" r="1">
      <x v="27"/>
    </i>
    <i r="1">
      <x v="34"/>
      <x v="18"/>
      <x v="13"/>
      <x v="35"/>
    </i>
    <i r="3">
      <x v="22"/>
      <x v="29"/>
    </i>
    <i t="default" r="2">
      <x v="18"/>
    </i>
    <i t="default" r="1">
      <x v="34"/>
    </i>
    <i r="1">
      <x v="35"/>
      <x v="30"/>
      <x v="3"/>
      <x v="138"/>
    </i>
    <i r="3">
      <x v="4"/>
      <x v="181"/>
    </i>
    <i t="default" r="2">
      <x v="30"/>
    </i>
    <i t="default" r="1">
      <x v="35"/>
    </i>
    <i r="1">
      <x v="38"/>
      <x v="15"/>
      <x v="20"/>
      <x v="16"/>
    </i>
    <i t="default" r="2">
      <x v="15"/>
    </i>
    <i t="default" r="1">
      <x v="38"/>
    </i>
    <i r="1">
      <x v="39"/>
      <x v="36"/>
      <x v="9"/>
      <x v="72"/>
    </i>
    <i t="default" r="2">
      <x v="36"/>
    </i>
    <i t="default" r="1">
      <x v="39"/>
    </i>
    <i t="default">
      <x v="4"/>
    </i>
    <i>
      <x v="5"/>
      <x v="29"/>
      <x/>
      <x v="2"/>
      <x v="213"/>
    </i>
    <i r="3">
      <x v="28"/>
      <x v="34"/>
    </i>
    <i t="default" r="2">
      <x/>
    </i>
    <i t="default" r="1">
      <x v="29"/>
    </i>
    <i t="default">
      <x v="5"/>
    </i>
    <i>
      <x v="6"/>
      <x v="2"/>
      <x v="13"/>
      <x v="3"/>
      <x v="40"/>
    </i>
    <i r="4">
      <x v="46"/>
    </i>
    <i r="3">
      <x v="4"/>
      <x v="153"/>
    </i>
    <i r="3">
      <x v="8"/>
      <x v="196"/>
    </i>
    <i r="3">
      <x v="10"/>
      <x v="105"/>
    </i>
    <i r="3">
      <x v="13"/>
      <x v="12"/>
    </i>
    <i r="4">
      <x v="151"/>
    </i>
    <i r="4">
      <x v="222"/>
    </i>
    <i r="3">
      <x v="14"/>
      <x v="10"/>
    </i>
    <i r="4">
      <x v="45"/>
    </i>
    <i r="4">
      <x v="63"/>
    </i>
    <i r="3">
      <x v="20"/>
      <x v="128"/>
    </i>
    <i r="3">
      <x v="22"/>
      <x v="86"/>
    </i>
    <i r="3">
      <x v="23"/>
      <x v="37"/>
    </i>
    <i t="default" r="2">
      <x v="13"/>
    </i>
    <i t="default" r="1">
      <x v="2"/>
    </i>
    <i r="1">
      <x v="4"/>
      <x v="25"/>
      <x v="14"/>
      <x v="7"/>
    </i>
    <i r="4">
      <x v="121"/>
    </i>
    <i r="4">
      <x v="147"/>
    </i>
    <i r="4">
      <x v="154"/>
    </i>
    <i r="3">
      <x v="17"/>
      <x v="124"/>
    </i>
    <i r="3">
      <x v="22"/>
      <x v="38"/>
    </i>
    <i r="3">
      <x v="23"/>
      <x v="18"/>
    </i>
    <i r="4">
      <x v="240"/>
    </i>
    <i t="default" r="2">
      <x v="25"/>
    </i>
    <i t="default" r="1">
      <x v="4"/>
    </i>
    <i r="1">
      <x v="5"/>
      <x v="10"/>
      <x v="16"/>
      <x v="80"/>
    </i>
    <i t="default" r="2">
      <x v="10"/>
    </i>
    <i t="default" r="1">
      <x v="5"/>
    </i>
    <i r="1">
      <x v="9"/>
      <x v="7"/>
      <x v="13"/>
      <x v="20"/>
    </i>
    <i r="3">
      <x v="22"/>
      <x v="148"/>
    </i>
    <i r="3">
      <x v="23"/>
      <x v="21"/>
    </i>
    <i r="3">
      <x v="26"/>
      <x v="51"/>
    </i>
    <i t="default" r="2">
      <x v="7"/>
    </i>
    <i t="default" r="1">
      <x v="9"/>
    </i>
    <i r="1">
      <x v="12"/>
      <x v="34"/>
      <x v="5"/>
      <x v="231"/>
    </i>
    <i r="3">
      <x v="6"/>
      <x v="236"/>
    </i>
    <i r="3">
      <x v="8"/>
      <x v="71"/>
    </i>
    <i r="3">
      <x v="12"/>
      <x v="141"/>
    </i>
    <i r="3">
      <x v="13"/>
      <x v="67"/>
    </i>
    <i r="3">
      <x v="14"/>
      <x v="100"/>
    </i>
    <i r="3">
      <x v="19"/>
      <x v="177"/>
    </i>
    <i r="3">
      <x v="22"/>
      <x v="103"/>
    </i>
    <i r="3">
      <x v="24"/>
      <x v="106"/>
    </i>
    <i t="default" r="2">
      <x v="34"/>
    </i>
    <i t="default" r="1">
      <x v="12"/>
    </i>
    <i r="1">
      <x v="18"/>
      <x v="23"/>
      <x v="3"/>
      <x v="165"/>
    </i>
    <i r="3">
      <x v="4"/>
      <x/>
    </i>
    <i r="4">
      <x v="117"/>
    </i>
    <i r="3">
      <x v="6"/>
      <x v="104"/>
    </i>
    <i r="4">
      <x v="226"/>
    </i>
    <i r="3">
      <x v="7"/>
      <x v="163"/>
    </i>
    <i r="3">
      <x v="13"/>
      <x v="88"/>
    </i>
    <i r="4">
      <x v="204"/>
    </i>
    <i r="3">
      <x v="14"/>
      <x v="191"/>
    </i>
    <i r="4">
      <x v="237"/>
    </i>
    <i r="3">
      <x v="26"/>
      <x v="39"/>
    </i>
    <i t="default" r="2">
      <x v="23"/>
    </i>
    <i t="default" r="1">
      <x v="18"/>
    </i>
    <i r="1">
      <x v="23"/>
      <x v="5"/>
      <x v="6"/>
      <x v="161"/>
    </i>
    <i r="3">
      <x v="7"/>
      <x v="140"/>
    </i>
    <i r="3">
      <x v="10"/>
      <x v="28"/>
    </i>
    <i r="4">
      <x v="129"/>
    </i>
    <i r="3">
      <x v="13"/>
      <x v="47"/>
    </i>
    <i r="4">
      <x v="172"/>
    </i>
    <i r="3">
      <x v="14"/>
      <x v="5"/>
    </i>
    <i r="3">
      <x v="22"/>
      <x v="48"/>
    </i>
    <i t="default" r="2">
      <x v="5"/>
    </i>
    <i t="default" r="1">
      <x v="23"/>
    </i>
    <i r="1">
      <x v="28"/>
      <x v="33"/>
      <x v="3"/>
      <x v="239"/>
    </i>
    <i r="3">
      <x v="6"/>
      <x v="155"/>
    </i>
    <i r="4">
      <x v="179"/>
    </i>
    <i r="3">
      <x v="9"/>
      <x v="85"/>
    </i>
    <i r="3">
      <x v="13"/>
      <x v="53"/>
    </i>
    <i r="4">
      <x v="145"/>
    </i>
    <i r="4">
      <x v="175"/>
    </i>
    <i r="4">
      <x v="202"/>
    </i>
    <i r="3">
      <x v="14"/>
      <x v="57"/>
    </i>
    <i r="4">
      <x v="205"/>
    </i>
    <i r="3">
      <x v="22"/>
      <x v="143"/>
    </i>
    <i r="3">
      <x v="23"/>
      <x v="185"/>
    </i>
    <i r="3">
      <x v="26"/>
      <x v="44"/>
    </i>
    <i t="default" r="2">
      <x v="33"/>
    </i>
    <i t="default" r="1">
      <x v="28"/>
    </i>
    <i r="1">
      <x v="30"/>
      <x v="29"/>
      <x v="3"/>
      <x v="26"/>
    </i>
    <i r="4">
      <x v="101"/>
    </i>
    <i r="3">
      <x v="5"/>
      <x v="73"/>
    </i>
    <i r="3">
      <x v="9"/>
      <x v="224"/>
    </i>
    <i r="3">
      <x v="13"/>
      <x v="116"/>
    </i>
    <i r="4">
      <x v="214"/>
    </i>
    <i r="3">
      <x v="14"/>
      <x v="176"/>
    </i>
    <i r="3">
      <x v="19"/>
      <x v="199"/>
    </i>
    <i r="3">
      <x v="23"/>
      <x v="134"/>
    </i>
    <i t="default" r="2">
      <x v="29"/>
    </i>
    <i t="default" r="1">
      <x v="30"/>
    </i>
    <i r="1">
      <x v="31"/>
      <x v="21"/>
      <x v="3"/>
      <x v="125"/>
    </i>
    <i r="4">
      <x v="200"/>
    </i>
    <i r="4">
      <x v="212"/>
    </i>
    <i r="4">
      <x v="241"/>
    </i>
    <i r="3">
      <x v="5"/>
      <x v="58"/>
    </i>
    <i r="4">
      <x v="130"/>
    </i>
    <i r="3">
      <x v="7"/>
      <x v="1"/>
    </i>
    <i r="3">
      <x v="13"/>
      <x v="87"/>
    </i>
    <i r="4">
      <x v="164"/>
    </i>
    <i r="4">
      <x v="242"/>
    </i>
    <i r="3">
      <x v="19"/>
      <x v="144"/>
    </i>
    <i r="4">
      <x v="189"/>
    </i>
    <i t="default" r="2">
      <x v="21"/>
    </i>
    <i t="default" r="1">
      <x v="31"/>
    </i>
    <i r="1">
      <x v="32"/>
      <x v="17"/>
      <x v="12"/>
      <x v="215"/>
    </i>
    <i r="3">
      <x v="14"/>
      <x v="110"/>
    </i>
    <i r="3">
      <x v="22"/>
      <x v="109"/>
    </i>
    <i r="3">
      <x v="23"/>
      <x v="180"/>
    </i>
    <i r="3">
      <x v="25"/>
      <x v="91"/>
    </i>
    <i t="default" r="2">
      <x v="17"/>
    </i>
    <i t="default" r="1">
      <x v="32"/>
    </i>
    <i r="1">
      <x v="37"/>
      <x v="24"/>
      <x v="23"/>
      <x v="211"/>
    </i>
    <i t="default" r="2">
      <x v="24"/>
    </i>
    <i t="default" r="1">
      <x v="37"/>
    </i>
    <i t="default">
      <x v="6"/>
    </i>
    <i>
      <x v="7"/>
      <x v="15"/>
      <x v="36"/>
      <x v="27"/>
      <x v="17"/>
    </i>
    <i t="default" r="2">
      <x v="36"/>
    </i>
    <i t="default" r="1">
      <x v="15"/>
    </i>
    <i t="default">
      <x v="7"/>
    </i>
    <i>
      <x v="8"/>
      <x v="20"/>
      <x v="20"/>
      <x/>
      <x v="60"/>
    </i>
    <i r="3">
      <x v="2"/>
      <x v="98"/>
    </i>
    <i r="3">
      <x v="28"/>
      <x v="11"/>
    </i>
    <i r="4">
      <x v="81"/>
    </i>
    <i r="4">
      <x v="133"/>
    </i>
    <i t="default" r="2">
      <x v="20"/>
    </i>
    <i t="default" r="1">
      <x v="20"/>
    </i>
    <i r="1">
      <x v="22"/>
      <x v="16"/>
      <x v="28"/>
      <x v="112"/>
    </i>
    <i r="4">
      <x v="113"/>
    </i>
    <i t="default" r="2">
      <x v="16"/>
    </i>
    <i t="default" r="1">
      <x v="22"/>
    </i>
    <i t="default">
      <x v="8"/>
    </i>
    <i>
      <x v="9"/>
      <x v="14"/>
      <x v="9"/>
      <x v="4"/>
      <x v="93"/>
    </i>
    <i r="3">
      <x v="8"/>
      <x v="223"/>
    </i>
    <i r="3">
      <x v="11"/>
      <x v="235"/>
    </i>
    <i r="3">
      <x v="13"/>
      <x v="68"/>
    </i>
    <i r="4">
      <x v="233"/>
    </i>
    <i r="4">
      <x v="238"/>
    </i>
    <i r="3">
      <x v="24"/>
      <x v="225"/>
    </i>
    <i t="default" r="2">
      <x v="9"/>
    </i>
    <i t="default" r="1">
      <x v="14"/>
    </i>
    <i t="default">
      <x v="9"/>
    </i>
    <i t="grand">
      <x/>
    </i>
  </rowItems>
  <colItems count="1">
    <i/>
  </colItems>
  <dataFields count="1">
    <dataField name="Suma de Comision Real" fld="24" baseField="0"/>
  </dataFields>
  <formats count="8">
    <format dxfId="16">
      <pivotArea field="3" type="button" dataOnly="0" labelOnly="1" outline="0" axis="axisRow" fieldPosition="0"/>
    </format>
    <format dxfId="15">
      <pivotArea field="5" type="button" dataOnly="0" labelOnly="1" outline="0" axis="axisRow" fieldPosition="1"/>
    </format>
    <format dxfId="14">
      <pivotArea field="4" type="button" dataOnly="0" labelOnly="1" outline="0" axis="axisRow" fieldPosition="2"/>
    </format>
    <format dxfId="13">
      <pivotArea field="15" type="button" dataOnly="0" labelOnly="1" outline="0" axis="axisRow" fieldPosition="3"/>
    </format>
    <format dxfId="12">
      <pivotArea field="12" type="button" dataOnly="0" labelOnly="1" outline="0" axis="axisRow" fieldPosition="4"/>
    </format>
    <format dxfId="11">
      <pivotArea dataOnly="0" labelOnly="1" outline="0" axis="axisValues" fieldPosition="0"/>
    </format>
    <format dxfId="9">
      <pivotArea dataOnly="0" outline="0" fieldPosition="0">
        <references count="1">
          <reference field="4" count="0" defaultSubtotal="1"/>
        </references>
      </pivotArea>
    </format>
    <format dxfId="8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COMISIONES PENDIENTES" cacheId="130" applyNumberFormats="0" applyBorderFormats="0" applyFontFormats="0" applyPatternFormats="0" applyAlignmentFormats="0" applyWidthHeightFormats="0" dataCaption="" updatedVersion="8" compact="0" compactData="0">
  <location ref="A29:E72" firstHeaderRow="1" firstDataRow="1" firstDataCol="4"/>
  <pivotFields count="27">
    <pivotField name="Fecha Comision" compact="0" outline="0" multipleItemSelectionAllowed="1" showAll="0"/>
    <pivotField name="Mes" compact="0" outline="0" multipleItemSelectionAllowed="1" showAll="0"/>
    <pivotField name="Marca" compact="0" outline="0" multipleItemSelectionAllowed="1" showAll="0"/>
    <pivotField name="Concesionario" axis="axisRow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Vendedor" axis="axisRow" compact="0" outline="0" multipleItemSelectionAllowed="1" showAll="0" sortType="ascending">
      <items count="13">
        <item x="3"/>
        <item x="1"/>
        <item x="11"/>
        <item x="8"/>
        <item x="4"/>
        <item x="5"/>
        <item x="9"/>
        <item x="0"/>
        <item x="10"/>
        <item x="2"/>
        <item x="6"/>
        <item x="7"/>
        <item t="default"/>
      </items>
    </pivotField>
    <pivotField name="Cod. Vendedor" compact="0" outline="0" multipleItemSelectionAllowed="1" showAll="0"/>
    <pivotField name="Origen" compact="0" outline="0" multipleItemSelectionAllowed="1" showAll="0"/>
    <pivotField name="Referencia" compact="0" outline="0" multipleItemSelectionAllowed="1" showAll="0"/>
    <pivotField name="Factura" compact="0" outline="0" multipleItemSelectionAllowed="1" showAll="0"/>
    <pivotField name="Fecha Factura" compact="0" outline="0" multipleItemSelectionAllowed="1" showAll="0"/>
    <pivotField name="Fecha Entrega" compact="0" outline="0" multipleItemSelectionAllowed="1" showAll="0"/>
    <pivotField name="Fecha Matricula" compact="0" outline="0" multipleItemSelectionAllowed="1" showAll="0"/>
    <pivotField name="Cliente" axis="axisRow" compact="0" outline="0" multipleItemSelectionAllowed="1" showAll="0" sortType="ascending">
      <items count="24">
        <item x="15"/>
        <item x="12"/>
        <item x="19"/>
        <item x="20"/>
        <item x="2"/>
        <item x="16"/>
        <item x="7"/>
        <item x="6"/>
        <item x="5"/>
        <item x="0"/>
        <item x="21"/>
        <item x="11"/>
        <item x="18"/>
        <item x="1"/>
        <item x="13"/>
        <item x="8"/>
        <item x="9"/>
        <item x="17"/>
        <item x="14"/>
        <item x="10"/>
        <item x="4"/>
        <item x="22"/>
        <item x="3"/>
        <item t="default"/>
      </items>
    </pivotField>
    <pivotField name="Matriculados" compact="0" outline="0" multipleItemSelectionAllowed="1" showAll="0"/>
    <pivotField name="Cod. Modelo" compact="0" outline="0" multipleItemSelectionAllowed="1" showAll="0"/>
    <pivotField name="Modelo" axis="axisRow" compact="0" outline="0" multipleItemSelectionAllowed="1" showAll="0" sortType="ascending" defaultSubtotal="0">
      <items count="11">
        <item x="1"/>
        <item x="4"/>
        <item x="10"/>
        <item x="5"/>
        <item x="7"/>
        <item x="9"/>
        <item x="0"/>
        <item x="6"/>
        <item x="3"/>
        <item x="8"/>
        <item x="2"/>
      </items>
    </pivotField>
    <pivotField name="VIN" compact="0" outline="0" multipleItemSelectionAllowed="1" showAll="0"/>
    <pivotField name="Valor Venta" compact="0" numFmtId="164" outline="0" multipleItemSelectionAllowed="1" showAll="0"/>
    <pivotField name="Obsequios" compact="0" numFmtId="164" outline="0" multipleItemSelectionAllowed="1" showAll="0"/>
    <pivotField name="Costo Total" compact="0" numFmtId="164" outline="0" multipleItemSelectionAllowed="1" showAll="0"/>
    <pivotField name="Costo iva" compact="0" numFmtId="164" outline="0" multipleItemSelectionAllowed="1" showAll="0"/>
    <pivotField name="Margen" compact="0" numFmtId="10" outline="0" multipleItemSelectionAllowed="1" showAll="0"/>
    <pivotField name="Saldo Pendiente" compact="0" numFmtId="164" outline="0" multipleItemSelectionAllowed="1" showAll="0"/>
    <pivotField name="Comision 100 %" compact="0" numFmtId="164" outline="0" multipleItemSelectionAllowed="1" showAll="0"/>
    <pivotField name="Comision Real" dataField="1" compact="0" numFmtId="164" outline="0" multipleItemSelectionAllowed="1" showAll="0"/>
    <pivotField name="% Comision " compact="0" numFmtId="10" outline="0" multipleItemSelectionAllowed="1" showAll="0"/>
    <pivotField name="Bono" compact="0" numFmtId="164" outline="0" multipleItemSelectionAllowed="1" showAll="0"/>
  </pivotFields>
  <rowFields count="4">
    <field x="3"/>
    <field x="4"/>
    <field x="15"/>
    <field x="12"/>
  </rowFields>
  <rowItems count="43">
    <i>
      <x/>
      <x v="7"/>
      <x v="6"/>
      <x v="9"/>
    </i>
    <i t="default" r="1">
      <x v="7"/>
    </i>
    <i t="default">
      <x/>
    </i>
    <i>
      <x v="1"/>
      <x v="7"/>
      <x/>
      <x v="13"/>
    </i>
    <i t="default" r="1">
      <x v="7"/>
    </i>
    <i t="default">
      <x v="1"/>
    </i>
    <i>
      <x v="2"/>
      <x v="1"/>
      <x v="8"/>
      <x v="22"/>
    </i>
    <i r="2">
      <x v="10"/>
      <x v="4"/>
    </i>
    <i t="default" r="1">
      <x v="1"/>
    </i>
    <i r="1">
      <x v="9"/>
      <x v="8"/>
      <x v="20"/>
    </i>
    <i t="default" r="1">
      <x v="9"/>
    </i>
    <i t="default">
      <x v="2"/>
    </i>
    <i>
      <x v="3"/>
      <x/>
      <x v="1"/>
      <x v="8"/>
    </i>
    <i r="2">
      <x v="3"/>
      <x v="7"/>
    </i>
    <i r="2">
      <x v="7"/>
      <x v="6"/>
    </i>
    <i t="default" r="1">
      <x/>
    </i>
    <i r="1">
      <x v="4"/>
      <x v="8"/>
      <x v="15"/>
    </i>
    <i t="default" r="1">
      <x v="4"/>
    </i>
    <i r="1">
      <x v="5"/>
      <x v="1"/>
      <x v="16"/>
    </i>
    <i t="default" r="1">
      <x v="5"/>
    </i>
    <i r="1">
      <x v="10"/>
      <x v="1"/>
      <x v="11"/>
    </i>
    <i r="2">
      <x v="4"/>
      <x v="19"/>
    </i>
    <i r="2">
      <x v="9"/>
      <x v="1"/>
    </i>
    <i t="default" r="1">
      <x v="10"/>
    </i>
    <i r="1">
      <x v="11"/>
      <x v="5"/>
      <x v="14"/>
    </i>
    <i r="2">
      <x v="8"/>
      <x/>
    </i>
    <i r="3">
      <x v="18"/>
    </i>
    <i t="default" r="1">
      <x v="11"/>
    </i>
    <i t="default">
      <x v="3"/>
    </i>
    <i>
      <x v="4"/>
      <x v="3"/>
      <x v="1"/>
      <x v="5"/>
    </i>
    <i r="2">
      <x v="5"/>
      <x v="17"/>
    </i>
    <i t="default" r="1">
      <x v="3"/>
    </i>
    <i r="1">
      <x v="6"/>
      <x v="5"/>
      <x v="12"/>
    </i>
    <i r="2">
      <x v="8"/>
      <x v="2"/>
    </i>
    <i r="3">
      <x v="3"/>
    </i>
    <i t="default" r="1">
      <x v="6"/>
    </i>
    <i r="1">
      <x v="8"/>
      <x v="2"/>
      <x v="10"/>
    </i>
    <i t="default" r="1">
      <x v="8"/>
    </i>
    <i t="default">
      <x v="4"/>
    </i>
    <i>
      <x v="5"/>
      <x v="2"/>
      <x v="7"/>
      <x v="21"/>
    </i>
    <i t="default" r="1">
      <x v="2"/>
    </i>
    <i t="default">
      <x v="5"/>
    </i>
    <i t="grand">
      <x/>
    </i>
  </rowItems>
  <colItems count="1">
    <i/>
  </colItems>
  <dataFields count="1">
    <dataField name="Suma de Comision Real" fld="2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000"/>
  <sheetViews>
    <sheetView workbookViewId="0"/>
  </sheetViews>
  <sheetFormatPr baseColWidth="10" defaultColWidth="14.42578125" defaultRowHeight="15" customHeight="1" x14ac:dyDescent="0.25"/>
  <cols>
    <col min="1" max="1" width="18.42578125" customWidth="1"/>
    <col min="2" max="2" width="23.42578125" customWidth="1"/>
    <col min="3" max="26" width="10.7109375" customWidth="1"/>
  </cols>
  <sheetData>
    <row r="3" spans="1:2" ht="22.5" customHeight="1" x14ac:dyDescent="0.25">
      <c r="A3" s="17" t="s">
        <v>0</v>
      </c>
      <c r="B3" s="18" t="s">
        <v>1</v>
      </c>
    </row>
    <row r="4" spans="1:2" x14ac:dyDescent="0.25">
      <c r="A4" s="19" t="s">
        <v>2</v>
      </c>
      <c r="B4" s="28">
        <v>601277.1</v>
      </c>
    </row>
    <row r="5" spans="1:2" x14ac:dyDescent="0.25">
      <c r="A5" s="22" t="s">
        <v>3</v>
      </c>
      <c r="B5" s="29">
        <v>952756</v>
      </c>
    </row>
    <row r="6" spans="1:2" x14ac:dyDescent="0.25">
      <c r="A6" s="22" t="s">
        <v>4</v>
      </c>
      <c r="B6" s="29">
        <v>818295.33333333337</v>
      </c>
    </row>
    <row r="7" spans="1:2" x14ac:dyDescent="0.25">
      <c r="A7" s="22" t="s">
        <v>5</v>
      </c>
      <c r="B7" s="29">
        <v>586477.7692333333</v>
      </c>
    </row>
    <row r="8" spans="1:2" x14ac:dyDescent="0.25">
      <c r="A8" s="22" t="s">
        <v>6</v>
      </c>
      <c r="B8" s="29">
        <v>600004.95151428576</v>
      </c>
    </row>
    <row r="9" spans="1:2" x14ac:dyDescent="0.25">
      <c r="A9" s="22" t="s">
        <v>7</v>
      </c>
      <c r="B9" s="29">
        <v>946456.5</v>
      </c>
    </row>
    <row r="10" spans="1:2" x14ac:dyDescent="0.25">
      <c r="A10" s="22" t="s">
        <v>8</v>
      </c>
      <c r="B10" s="29">
        <v>630445.8294354839</v>
      </c>
    </row>
    <row r="11" spans="1:2" x14ac:dyDescent="0.25">
      <c r="A11" s="22" t="s">
        <v>9</v>
      </c>
      <c r="B11" s="29">
        <v>821357.14200000011</v>
      </c>
    </row>
    <row r="12" spans="1:2" x14ac:dyDescent="0.25">
      <c r="A12" s="22" t="s">
        <v>10</v>
      </c>
      <c r="B12" s="29">
        <v>1143569.6666666667</v>
      </c>
    </row>
    <row r="13" spans="1:2" x14ac:dyDescent="0.25">
      <c r="A13" s="22" t="s">
        <v>11</v>
      </c>
      <c r="B13" s="29">
        <v>627895.6</v>
      </c>
    </row>
    <row r="14" spans="1:2" x14ac:dyDescent="0.25">
      <c r="A14" s="23" t="s">
        <v>1096</v>
      </c>
      <c r="B14" s="30">
        <v>635585.57834539469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H12" sqref="H12"/>
    </sheetView>
  </sheetViews>
  <sheetFormatPr baseColWidth="10" defaultColWidth="14.42578125" defaultRowHeight="15" customHeight="1" x14ac:dyDescent="0.25"/>
  <cols>
    <col min="1" max="1" width="20" customWidth="1"/>
    <col min="2" max="2" width="14.5703125" customWidth="1"/>
    <col min="3" max="3" width="21.7109375" customWidth="1"/>
    <col min="4" max="4" width="33" customWidth="1"/>
    <col min="5" max="5" width="56.7109375" bestFit="1" customWidth="1"/>
    <col min="6" max="6" width="21.85546875" bestFit="1" customWidth="1"/>
    <col min="7" max="26" width="10.7109375" customWidth="1"/>
  </cols>
  <sheetData>
    <row r="1" spans="1:6" x14ac:dyDescent="0.25">
      <c r="A1" s="2" t="s">
        <v>12</v>
      </c>
      <c r="B1" s="26" t="s">
        <v>13</v>
      </c>
      <c r="C1" s="27"/>
    </row>
    <row r="2" spans="1:6" x14ac:dyDescent="0.25">
      <c r="A2" s="3" t="s">
        <v>14</v>
      </c>
      <c r="B2" s="4" t="s">
        <v>15</v>
      </c>
      <c r="C2" s="5"/>
    </row>
    <row r="3" spans="1:6" x14ac:dyDescent="0.25">
      <c r="A3" s="33" t="s">
        <v>0</v>
      </c>
      <c r="B3" s="33" t="s">
        <v>381</v>
      </c>
      <c r="C3" s="33" t="s">
        <v>16</v>
      </c>
      <c r="D3" s="33" t="s">
        <v>17</v>
      </c>
      <c r="E3" s="33" t="s">
        <v>18</v>
      </c>
      <c r="F3" s="34" t="s">
        <v>19</v>
      </c>
    </row>
    <row r="4" spans="1:6" ht="29.25" customHeight="1" x14ac:dyDescent="0.25">
      <c r="A4" s="19" t="s">
        <v>2</v>
      </c>
      <c r="B4" s="19">
        <v>123</v>
      </c>
      <c r="C4" s="19" t="s">
        <v>61</v>
      </c>
      <c r="D4" s="19" t="s">
        <v>21</v>
      </c>
      <c r="E4" s="19" t="s">
        <v>62</v>
      </c>
      <c r="F4" s="28">
        <v>714402</v>
      </c>
    </row>
    <row r="5" spans="1:6" x14ac:dyDescent="0.25">
      <c r="A5" s="20"/>
      <c r="B5" s="20"/>
      <c r="C5" s="20"/>
      <c r="D5" s="20"/>
      <c r="E5" s="22" t="s">
        <v>63</v>
      </c>
      <c r="F5" s="29">
        <v>713884</v>
      </c>
    </row>
    <row r="6" spans="1:6" x14ac:dyDescent="0.25">
      <c r="A6" s="20"/>
      <c r="B6" s="20"/>
      <c r="C6" s="20"/>
      <c r="D6" s="19" t="s">
        <v>49</v>
      </c>
      <c r="E6" s="19" t="s">
        <v>64</v>
      </c>
      <c r="F6" s="28">
        <v>576111</v>
      </c>
    </row>
    <row r="7" spans="1:6" x14ac:dyDescent="0.25">
      <c r="A7" s="20"/>
      <c r="B7" s="20"/>
      <c r="C7" s="20"/>
      <c r="D7" s="19" t="s">
        <v>51</v>
      </c>
      <c r="E7" s="19" t="s">
        <v>65</v>
      </c>
      <c r="F7" s="28">
        <v>542059</v>
      </c>
    </row>
    <row r="8" spans="1:6" x14ac:dyDescent="0.25">
      <c r="A8" s="20"/>
      <c r="B8" s="20"/>
      <c r="C8" s="20"/>
      <c r="D8" s="19" t="s">
        <v>66</v>
      </c>
      <c r="E8" s="19" t="s">
        <v>67</v>
      </c>
      <c r="F8" s="28">
        <v>640780</v>
      </c>
    </row>
    <row r="9" spans="1:6" x14ac:dyDescent="0.25">
      <c r="A9" s="20"/>
      <c r="B9" s="20"/>
      <c r="C9" s="20"/>
      <c r="D9" s="19" t="s">
        <v>68</v>
      </c>
      <c r="E9" s="19" t="s">
        <v>69</v>
      </c>
      <c r="F9" s="28">
        <v>1081588</v>
      </c>
    </row>
    <row r="10" spans="1:6" x14ac:dyDescent="0.25">
      <c r="A10" s="20"/>
      <c r="B10" s="20"/>
      <c r="C10" s="20"/>
      <c r="D10" s="19" t="s">
        <v>27</v>
      </c>
      <c r="E10" s="19" t="s">
        <v>70</v>
      </c>
      <c r="F10" s="28">
        <v>0</v>
      </c>
    </row>
    <row r="11" spans="1:6" x14ac:dyDescent="0.25">
      <c r="A11" s="20"/>
      <c r="B11" s="20"/>
      <c r="C11" s="20"/>
      <c r="D11" s="20"/>
      <c r="E11" s="22" t="s">
        <v>71</v>
      </c>
      <c r="F11" s="29">
        <v>0</v>
      </c>
    </row>
    <row r="12" spans="1:6" x14ac:dyDescent="0.25">
      <c r="A12" s="20"/>
      <c r="B12" s="20"/>
      <c r="C12" s="20"/>
      <c r="D12" s="19" t="s">
        <v>43</v>
      </c>
      <c r="E12" s="19" t="s">
        <v>72</v>
      </c>
      <c r="F12" s="28">
        <v>0</v>
      </c>
    </row>
    <row r="13" spans="1:6" x14ac:dyDescent="0.25">
      <c r="A13" s="20"/>
      <c r="B13" s="20"/>
      <c r="C13" s="20"/>
      <c r="D13" s="19" t="s">
        <v>30</v>
      </c>
      <c r="E13" s="19" t="s">
        <v>73</v>
      </c>
      <c r="F13" s="28">
        <v>571404.5</v>
      </c>
    </row>
    <row r="14" spans="1:6" x14ac:dyDescent="0.25">
      <c r="A14" s="20"/>
      <c r="B14" s="20"/>
      <c r="C14" s="20"/>
      <c r="D14" s="20"/>
      <c r="E14" s="22" t="s">
        <v>74</v>
      </c>
      <c r="F14" s="29">
        <v>1142809</v>
      </c>
    </row>
    <row r="15" spans="1:6" x14ac:dyDescent="0.25">
      <c r="A15" s="20"/>
      <c r="B15" s="20"/>
      <c r="C15" s="35" t="s">
        <v>75</v>
      </c>
      <c r="D15" s="36"/>
      <c r="E15" s="37"/>
      <c r="F15" s="38">
        <v>5983037.5</v>
      </c>
    </row>
    <row r="16" spans="1:6" x14ac:dyDescent="0.25">
      <c r="A16" s="20"/>
      <c r="B16" s="19" t="s">
        <v>1099</v>
      </c>
      <c r="C16" s="21"/>
      <c r="D16" s="21"/>
      <c r="E16" s="21"/>
      <c r="F16" s="28">
        <v>5983037.5</v>
      </c>
    </row>
    <row r="17" spans="1:6" x14ac:dyDescent="0.25">
      <c r="A17" s="20"/>
      <c r="B17" s="19">
        <v>273</v>
      </c>
      <c r="C17" s="19" t="s">
        <v>35</v>
      </c>
      <c r="D17" s="19" t="s">
        <v>36</v>
      </c>
      <c r="E17" s="19" t="s">
        <v>37</v>
      </c>
      <c r="F17" s="28">
        <v>369055</v>
      </c>
    </row>
    <row r="18" spans="1:6" x14ac:dyDescent="0.25">
      <c r="A18" s="20"/>
      <c r="B18" s="20"/>
      <c r="C18" s="20"/>
      <c r="D18" s="19" t="s">
        <v>27</v>
      </c>
      <c r="E18" s="19" t="s">
        <v>38</v>
      </c>
      <c r="F18" s="28">
        <v>228307</v>
      </c>
    </row>
    <row r="19" spans="1:6" x14ac:dyDescent="0.25">
      <c r="A19" s="20"/>
      <c r="B19" s="20"/>
      <c r="C19" s="20"/>
      <c r="D19" s="20"/>
      <c r="E19" s="22" t="s">
        <v>39</v>
      </c>
      <c r="F19" s="29">
        <v>0</v>
      </c>
    </row>
    <row r="20" spans="1:6" x14ac:dyDescent="0.25">
      <c r="A20" s="20"/>
      <c r="B20" s="20"/>
      <c r="C20" s="20"/>
      <c r="D20" s="19" t="s">
        <v>32</v>
      </c>
      <c r="E20" s="19" t="s">
        <v>40</v>
      </c>
      <c r="F20" s="28">
        <v>436903</v>
      </c>
    </row>
    <row r="21" spans="1:6" ht="15.75" customHeight="1" x14ac:dyDescent="0.25">
      <c r="A21" s="20"/>
      <c r="B21" s="20"/>
      <c r="C21" s="35" t="s">
        <v>41</v>
      </c>
      <c r="D21" s="36"/>
      <c r="E21" s="37"/>
      <c r="F21" s="38">
        <v>1034265</v>
      </c>
    </row>
    <row r="22" spans="1:6" ht="15.75" customHeight="1" x14ac:dyDescent="0.25">
      <c r="A22" s="20"/>
      <c r="B22" s="19" t="s">
        <v>1100</v>
      </c>
      <c r="C22" s="21"/>
      <c r="D22" s="21"/>
      <c r="E22" s="21"/>
      <c r="F22" s="28">
        <v>1034265</v>
      </c>
    </row>
    <row r="23" spans="1:6" ht="15.75" customHeight="1" x14ac:dyDescent="0.25">
      <c r="A23" s="20"/>
      <c r="B23" s="19">
        <v>753</v>
      </c>
      <c r="C23" s="19" t="s">
        <v>42</v>
      </c>
      <c r="D23" s="19" t="s">
        <v>43</v>
      </c>
      <c r="E23" s="19" t="s">
        <v>44</v>
      </c>
      <c r="F23" s="28">
        <v>258819</v>
      </c>
    </row>
    <row r="24" spans="1:6" ht="15.75" customHeight="1" x14ac:dyDescent="0.25">
      <c r="A24" s="20"/>
      <c r="B24" s="20"/>
      <c r="C24" s="20"/>
      <c r="D24" s="19" t="s">
        <v>45</v>
      </c>
      <c r="E24" s="19" t="s">
        <v>46</v>
      </c>
      <c r="F24" s="28">
        <v>350748</v>
      </c>
    </row>
    <row r="25" spans="1:6" ht="15.75" customHeight="1" x14ac:dyDescent="0.25">
      <c r="A25" s="20"/>
      <c r="B25" s="20"/>
      <c r="C25" s="35" t="s">
        <v>47</v>
      </c>
      <c r="D25" s="36"/>
      <c r="E25" s="37"/>
      <c r="F25" s="38">
        <v>609567</v>
      </c>
    </row>
    <row r="26" spans="1:6" ht="15.75" customHeight="1" x14ac:dyDescent="0.25">
      <c r="A26" s="20"/>
      <c r="B26" s="19" t="s">
        <v>1101</v>
      </c>
      <c r="C26" s="21"/>
      <c r="D26" s="21"/>
      <c r="E26" s="21"/>
      <c r="F26" s="28">
        <v>609567</v>
      </c>
    </row>
    <row r="27" spans="1:6" ht="15.75" customHeight="1" x14ac:dyDescent="0.25">
      <c r="A27" s="20"/>
      <c r="B27" s="19">
        <v>883</v>
      </c>
      <c r="C27" s="19" t="s">
        <v>20</v>
      </c>
      <c r="D27" s="19" t="s">
        <v>21</v>
      </c>
      <c r="E27" s="19" t="s">
        <v>22</v>
      </c>
      <c r="F27" s="28">
        <v>0</v>
      </c>
    </row>
    <row r="28" spans="1:6" ht="15.75" customHeight="1" x14ac:dyDescent="0.25">
      <c r="A28" s="20"/>
      <c r="B28" s="20"/>
      <c r="C28" s="20"/>
      <c r="D28" s="20"/>
      <c r="E28" s="22" t="s">
        <v>23</v>
      </c>
      <c r="F28" s="29">
        <v>714402</v>
      </c>
    </row>
    <row r="29" spans="1:6" ht="15.75" customHeight="1" x14ac:dyDescent="0.25">
      <c r="A29" s="20"/>
      <c r="B29" s="20"/>
      <c r="C29" s="20"/>
      <c r="D29" s="20"/>
      <c r="E29" s="22" t="s">
        <v>24</v>
      </c>
      <c r="F29" s="29">
        <v>714402</v>
      </c>
    </row>
    <row r="30" spans="1:6" ht="15.75" customHeight="1" x14ac:dyDescent="0.25">
      <c r="A30" s="20"/>
      <c r="B30" s="20"/>
      <c r="C30" s="20"/>
      <c r="D30" s="19" t="s">
        <v>25</v>
      </c>
      <c r="E30" s="19" t="s">
        <v>26</v>
      </c>
      <c r="F30" s="28">
        <v>693554</v>
      </c>
    </row>
    <row r="31" spans="1:6" ht="15.75" customHeight="1" x14ac:dyDescent="0.25">
      <c r="A31" s="20"/>
      <c r="B31" s="20"/>
      <c r="C31" s="20"/>
      <c r="D31" s="19" t="s">
        <v>27</v>
      </c>
      <c r="E31" s="19" t="s">
        <v>28</v>
      </c>
      <c r="F31" s="28">
        <v>388122</v>
      </c>
    </row>
    <row r="32" spans="1:6" ht="15.75" customHeight="1" x14ac:dyDescent="0.25">
      <c r="A32" s="20"/>
      <c r="B32" s="20"/>
      <c r="C32" s="20"/>
      <c r="D32" s="20"/>
      <c r="E32" s="22" t="s">
        <v>29</v>
      </c>
      <c r="F32" s="29">
        <v>0</v>
      </c>
    </row>
    <row r="33" spans="1:6" ht="15.75" customHeight="1" x14ac:dyDescent="0.25">
      <c r="A33" s="20"/>
      <c r="B33" s="20"/>
      <c r="C33" s="20"/>
      <c r="D33" s="19" t="s">
        <v>30</v>
      </c>
      <c r="E33" s="19" t="s">
        <v>31</v>
      </c>
      <c r="F33" s="28">
        <v>1148610</v>
      </c>
    </row>
    <row r="34" spans="1:6" ht="15.75" customHeight="1" x14ac:dyDescent="0.25">
      <c r="A34" s="20"/>
      <c r="B34" s="20"/>
      <c r="C34" s="20"/>
      <c r="D34" s="19" t="s">
        <v>32</v>
      </c>
      <c r="E34" s="19" t="s">
        <v>33</v>
      </c>
      <c r="F34" s="28">
        <v>735307</v>
      </c>
    </row>
    <row r="35" spans="1:6" ht="15.75" customHeight="1" x14ac:dyDescent="0.25">
      <c r="A35" s="20"/>
      <c r="B35" s="20"/>
      <c r="C35" s="35" t="s">
        <v>34</v>
      </c>
      <c r="D35" s="36"/>
      <c r="E35" s="37"/>
      <c r="F35" s="38">
        <v>4394397</v>
      </c>
    </row>
    <row r="36" spans="1:6" ht="15.75" customHeight="1" x14ac:dyDescent="0.25">
      <c r="A36" s="20"/>
      <c r="B36" s="19" t="s">
        <v>1102</v>
      </c>
      <c r="C36" s="21"/>
      <c r="D36" s="21"/>
      <c r="E36" s="21"/>
      <c r="F36" s="28">
        <v>4394397</v>
      </c>
    </row>
    <row r="37" spans="1:6" ht="15.75" customHeight="1" x14ac:dyDescent="0.25">
      <c r="A37" s="20"/>
      <c r="B37" s="19">
        <v>951</v>
      </c>
      <c r="C37" s="19" t="s">
        <v>48</v>
      </c>
      <c r="D37" s="19" t="s">
        <v>49</v>
      </c>
      <c r="E37" s="19" t="s">
        <v>50</v>
      </c>
      <c r="F37" s="28">
        <v>576126</v>
      </c>
    </row>
    <row r="38" spans="1:6" ht="15.75" customHeight="1" x14ac:dyDescent="0.25">
      <c r="A38" s="20"/>
      <c r="B38" s="20"/>
      <c r="C38" s="20"/>
      <c r="D38" s="19" t="s">
        <v>51</v>
      </c>
      <c r="E38" s="19" t="s">
        <v>52</v>
      </c>
      <c r="F38" s="28">
        <v>527000</v>
      </c>
    </row>
    <row r="39" spans="1:6" ht="15.75" customHeight="1" x14ac:dyDescent="0.25">
      <c r="A39" s="20"/>
      <c r="B39" s="20"/>
      <c r="C39" s="20"/>
      <c r="D39" s="19" t="s">
        <v>27</v>
      </c>
      <c r="E39" s="19" t="s">
        <v>53</v>
      </c>
      <c r="F39" s="28">
        <v>388122</v>
      </c>
    </row>
    <row r="40" spans="1:6" ht="15.75" customHeight="1" x14ac:dyDescent="0.25">
      <c r="A40" s="20"/>
      <c r="B40" s="20"/>
      <c r="C40" s="20"/>
      <c r="D40" s="20"/>
      <c r="E40" s="22" t="s">
        <v>54</v>
      </c>
      <c r="F40" s="29">
        <v>0</v>
      </c>
    </row>
    <row r="41" spans="1:6" ht="15.75" customHeight="1" x14ac:dyDescent="0.25">
      <c r="A41" s="20"/>
      <c r="B41" s="20"/>
      <c r="C41" s="20"/>
      <c r="D41" s="20"/>
      <c r="E41" s="22" t="s">
        <v>55</v>
      </c>
      <c r="F41" s="29">
        <v>388122</v>
      </c>
    </row>
    <row r="42" spans="1:6" ht="15.75" customHeight="1" x14ac:dyDescent="0.25">
      <c r="A42" s="20"/>
      <c r="B42" s="20"/>
      <c r="C42" s="20"/>
      <c r="D42" s="19" t="s">
        <v>43</v>
      </c>
      <c r="E42" s="19" t="s">
        <v>56</v>
      </c>
      <c r="F42" s="28">
        <v>0</v>
      </c>
    </row>
    <row r="43" spans="1:6" ht="15.75" customHeight="1" x14ac:dyDescent="0.25">
      <c r="A43" s="20"/>
      <c r="B43" s="20"/>
      <c r="C43" s="20"/>
      <c r="D43" s="20"/>
      <c r="E43" s="22" t="s">
        <v>57</v>
      </c>
      <c r="F43" s="29">
        <v>0</v>
      </c>
    </row>
    <row r="44" spans="1:6" ht="15.75" customHeight="1" x14ac:dyDescent="0.25">
      <c r="A44" s="20"/>
      <c r="B44" s="20"/>
      <c r="C44" s="20"/>
      <c r="D44" s="19" t="s">
        <v>58</v>
      </c>
      <c r="E44" s="19" t="s">
        <v>59</v>
      </c>
      <c r="F44" s="28">
        <v>654165</v>
      </c>
    </row>
    <row r="45" spans="1:6" ht="15.75" customHeight="1" x14ac:dyDescent="0.25">
      <c r="A45" s="20"/>
      <c r="B45" s="20"/>
      <c r="C45" s="35" t="s">
        <v>60</v>
      </c>
      <c r="D45" s="36"/>
      <c r="E45" s="37"/>
      <c r="F45" s="38">
        <v>2533535</v>
      </c>
    </row>
    <row r="46" spans="1:6" ht="15.75" customHeight="1" x14ac:dyDescent="0.25">
      <c r="A46" s="20"/>
      <c r="B46" s="19" t="s">
        <v>1103</v>
      </c>
      <c r="C46" s="21"/>
      <c r="D46" s="21"/>
      <c r="E46" s="21"/>
      <c r="F46" s="28">
        <v>2533535</v>
      </c>
    </row>
    <row r="47" spans="1:6" ht="15.75" customHeight="1" x14ac:dyDescent="0.25">
      <c r="A47" s="20"/>
      <c r="B47" s="19">
        <v>1075</v>
      </c>
      <c r="C47" s="19" t="s">
        <v>76</v>
      </c>
      <c r="D47" s="19" t="s">
        <v>51</v>
      </c>
      <c r="E47" s="19" t="s">
        <v>77</v>
      </c>
      <c r="F47" s="28">
        <v>446402</v>
      </c>
    </row>
    <row r="48" spans="1:6" ht="15.75" customHeight="1" x14ac:dyDescent="0.25">
      <c r="A48" s="20"/>
      <c r="B48" s="20"/>
      <c r="C48" s="20"/>
      <c r="D48" s="19" t="s">
        <v>66</v>
      </c>
      <c r="E48" s="19" t="s">
        <v>78</v>
      </c>
      <c r="F48" s="28">
        <v>527701</v>
      </c>
    </row>
    <row r="49" spans="1:6" ht="15.75" customHeight="1" x14ac:dyDescent="0.25">
      <c r="A49" s="20"/>
      <c r="B49" s="20"/>
      <c r="C49" s="20"/>
      <c r="D49" s="19" t="s">
        <v>79</v>
      </c>
      <c r="E49" s="19" t="s">
        <v>80</v>
      </c>
      <c r="F49" s="28">
        <v>0</v>
      </c>
    </row>
    <row r="50" spans="1:6" ht="15.75" customHeight="1" x14ac:dyDescent="0.25">
      <c r="A50" s="20"/>
      <c r="B50" s="20"/>
      <c r="C50" s="20"/>
      <c r="D50" s="19" t="s">
        <v>27</v>
      </c>
      <c r="E50" s="19" t="s">
        <v>81</v>
      </c>
      <c r="F50" s="28">
        <v>0</v>
      </c>
    </row>
    <row r="51" spans="1:6" ht="15.75" customHeight="1" x14ac:dyDescent="0.25">
      <c r="A51" s="20"/>
      <c r="B51" s="20"/>
      <c r="C51" s="20"/>
      <c r="D51" s="19" t="s">
        <v>43</v>
      </c>
      <c r="E51" s="19" t="s">
        <v>82</v>
      </c>
      <c r="F51" s="28">
        <v>0</v>
      </c>
    </row>
    <row r="52" spans="1:6" ht="15.75" customHeight="1" x14ac:dyDescent="0.25">
      <c r="A52" s="20"/>
      <c r="B52" s="20"/>
      <c r="C52" s="20"/>
      <c r="D52" s="19" t="s">
        <v>32</v>
      </c>
      <c r="E52" s="19" t="s">
        <v>83</v>
      </c>
      <c r="F52" s="28">
        <v>605547</v>
      </c>
    </row>
    <row r="53" spans="1:6" ht="15.75" customHeight="1" x14ac:dyDescent="0.25">
      <c r="A53" s="20"/>
      <c r="B53" s="20"/>
      <c r="C53" s="35" t="s">
        <v>84</v>
      </c>
      <c r="D53" s="36"/>
      <c r="E53" s="37"/>
      <c r="F53" s="38">
        <v>1579650</v>
      </c>
    </row>
    <row r="54" spans="1:6" ht="15.75" customHeight="1" x14ac:dyDescent="0.25">
      <c r="A54" s="20"/>
      <c r="B54" s="19" t="s">
        <v>1104</v>
      </c>
      <c r="C54" s="21"/>
      <c r="D54" s="21"/>
      <c r="E54" s="21"/>
      <c r="F54" s="28">
        <v>1579650</v>
      </c>
    </row>
    <row r="55" spans="1:6" ht="15.75" customHeight="1" x14ac:dyDescent="0.25">
      <c r="A55" s="19" t="s">
        <v>85</v>
      </c>
      <c r="B55" s="21"/>
      <c r="C55" s="21"/>
      <c r="D55" s="21"/>
      <c r="E55" s="21"/>
      <c r="F55" s="28">
        <v>16134451.5</v>
      </c>
    </row>
    <row r="56" spans="1:6" ht="15.75" customHeight="1" x14ac:dyDescent="0.25">
      <c r="A56" s="19" t="s">
        <v>3</v>
      </c>
      <c r="B56" s="19">
        <v>901</v>
      </c>
      <c r="C56" s="19" t="s">
        <v>86</v>
      </c>
      <c r="D56" s="19" t="s">
        <v>87</v>
      </c>
      <c r="E56" s="19" t="s">
        <v>88</v>
      </c>
      <c r="F56" s="28">
        <v>952756</v>
      </c>
    </row>
    <row r="57" spans="1:6" ht="15.75" customHeight="1" x14ac:dyDescent="0.25">
      <c r="A57" s="20"/>
      <c r="B57" s="20"/>
      <c r="C57" s="20"/>
      <c r="D57" s="19" t="s">
        <v>89</v>
      </c>
      <c r="E57" s="19" t="s">
        <v>90</v>
      </c>
      <c r="F57" s="28">
        <v>0</v>
      </c>
    </row>
    <row r="58" spans="1:6" ht="15.75" customHeight="1" x14ac:dyDescent="0.25">
      <c r="A58" s="20"/>
      <c r="B58" s="20"/>
      <c r="C58" s="20"/>
      <c r="D58" s="20"/>
      <c r="E58" s="22" t="s">
        <v>91</v>
      </c>
      <c r="F58" s="29">
        <v>0</v>
      </c>
    </row>
    <row r="59" spans="1:6" ht="15.75" customHeight="1" x14ac:dyDescent="0.25">
      <c r="A59" s="20"/>
      <c r="B59" s="20"/>
      <c r="C59" s="35" t="s">
        <v>92</v>
      </c>
      <c r="D59" s="36"/>
      <c r="E59" s="37"/>
      <c r="F59" s="38">
        <v>952756</v>
      </c>
    </row>
    <row r="60" spans="1:6" ht="15.75" customHeight="1" x14ac:dyDescent="0.25">
      <c r="A60" s="20"/>
      <c r="B60" s="19" t="s">
        <v>1105</v>
      </c>
      <c r="C60" s="21"/>
      <c r="D60" s="21"/>
      <c r="E60" s="21"/>
      <c r="F60" s="28">
        <v>952756</v>
      </c>
    </row>
    <row r="61" spans="1:6" ht="15.75" customHeight="1" x14ac:dyDescent="0.25">
      <c r="A61" s="19" t="s">
        <v>93</v>
      </c>
      <c r="B61" s="21"/>
      <c r="C61" s="21"/>
      <c r="D61" s="21"/>
      <c r="E61" s="21"/>
      <c r="F61" s="28">
        <v>952756</v>
      </c>
    </row>
    <row r="62" spans="1:6" ht="15.75" customHeight="1" x14ac:dyDescent="0.25">
      <c r="A62" s="19" t="s">
        <v>4</v>
      </c>
      <c r="B62" s="19">
        <v>907</v>
      </c>
      <c r="C62" s="19" t="s">
        <v>111</v>
      </c>
      <c r="D62" s="19" t="s">
        <v>21</v>
      </c>
      <c r="E62" s="19" t="s">
        <v>112</v>
      </c>
      <c r="F62" s="28">
        <v>0</v>
      </c>
    </row>
    <row r="63" spans="1:6" ht="15.75" customHeight="1" x14ac:dyDescent="0.25">
      <c r="A63" s="20"/>
      <c r="B63" s="20"/>
      <c r="C63" s="20"/>
      <c r="D63" s="19" t="s">
        <v>27</v>
      </c>
      <c r="E63" s="19" t="s">
        <v>113</v>
      </c>
      <c r="F63" s="28">
        <v>0</v>
      </c>
    </row>
    <row r="64" spans="1:6" ht="15.75" customHeight="1" x14ac:dyDescent="0.25">
      <c r="A64" s="20"/>
      <c r="B64" s="20"/>
      <c r="C64" s="20"/>
      <c r="D64" s="19" t="s">
        <v>32</v>
      </c>
      <c r="E64" s="19" t="s">
        <v>114</v>
      </c>
      <c r="F64" s="28">
        <v>0</v>
      </c>
    </row>
    <row r="65" spans="1:6" ht="15.75" customHeight="1" x14ac:dyDescent="0.25">
      <c r="A65" s="20"/>
      <c r="B65" s="20"/>
      <c r="C65" s="35" t="s">
        <v>115</v>
      </c>
      <c r="D65" s="36"/>
      <c r="E65" s="37"/>
      <c r="F65" s="38">
        <v>0</v>
      </c>
    </row>
    <row r="66" spans="1:6" ht="15.75" customHeight="1" x14ac:dyDescent="0.25">
      <c r="A66" s="20"/>
      <c r="B66" s="19" t="s">
        <v>1106</v>
      </c>
      <c r="C66" s="21"/>
      <c r="D66" s="21"/>
      <c r="E66" s="21"/>
      <c r="F66" s="28">
        <v>0</v>
      </c>
    </row>
    <row r="67" spans="1:6" ht="15.75" customHeight="1" x14ac:dyDescent="0.25">
      <c r="A67" s="20"/>
      <c r="B67" s="19">
        <v>959</v>
      </c>
      <c r="C67" s="19" t="s">
        <v>94</v>
      </c>
      <c r="D67" s="19" t="s">
        <v>66</v>
      </c>
      <c r="E67" s="19" t="s">
        <v>95</v>
      </c>
      <c r="F67" s="28">
        <v>0</v>
      </c>
    </row>
    <row r="68" spans="1:6" ht="15.75" customHeight="1" x14ac:dyDescent="0.25">
      <c r="A68" s="20"/>
      <c r="B68" s="20"/>
      <c r="C68" s="20"/>
      <c r="D68" s="20"/>
      <c r="E68" s="22" t="s">
        <v>96</v>
      </c>
      <c r="F68" s="29">
        <v>0</v>
      </c>
    </row>
    <row r="69" spans="1:6" ht="15.75" customHeight="1" x14ac:dyDescent="0.25">
      <c r="A69" s="20"/>
      <c r="B69" s="20"/>
      <c r="C69" s="20"/>
      <c r="D69" s="19" t="s">
        <v>97</v>
      </c>
      <c r="E69" s="19" t="s">
        <v>98</v>
      </c>
      <c r="F69" s="28">
        <v>0</v>
      </c>
    </row>
    <row r="70" spans="1:6" ht="15.75" customHeight="1" x14ac:dyDescent="0.25">
      <c r="A70" s="20"/>
      <c r="B70" s="20"/>
      <c r="C70" s="20"/>
      <c r="D70" s="19" t="s">
        <v>27</v>
      </c>
      <c r="E70" s="19" t="s">
        <v>99</v>
      </c>
      <c r="F70" s="28">
        <v>0</v>
      </c>
    </row>
    <row r="71" spans="1:6" ht="15.75" customHeight="1" x14ac:dyDescent="0.25">
      <c r="A71" s="20"/>
      <c r="B71" s="20"/>
      <c r="C71" s="20"/>
      <c r="D71" s="20"/>
      <c r="E71" s="22" t="s">
        <v>100</v>
      </c>
      <c r="F71" s="29">
        <v>0</v>
      </c>
    </row>
    <row r="72" spans="1:6" ht="15.75" customHeight="1" x14ac:dyDescent="0.25">
      <c r="A72" s="20"/>
      <c r="B72" s="20"/>
      <c r="C72" s="20"/>
      <c r="D72" s="19" t="s">
        <v>101</v>
      </c>
      <c r="E72" s="19" t="s">
        <v>102</v>
      </c>
      <c r="F72" s="28">
        <v>1321300</v>
      </c>
    </row>
    <row r="73" spans="1:6" ht="15.75" customHeight="1" x14ac:dyDescent="0.25">
      <c r="A73" s="20"/>
      <c r="B73" s="20"/>
      <c r="C73" s="20"/>
      <c r="D73" s="19" t="s">
        <v>103</v>
      </c>
      <c r="E73" s="19" t="s">
        <v>104</v>
      </c>
      <c r="F73" s="28">
        <v>697602</v>
      </c>
    </row>
    <row r="74" spans="1:6" ht="15.75" customHeight="1" x14ac:dyDescent="0.25">
      <c r="A74" s="20"/>
      <c r="B74" s="20"/>
      <c r="C74" s="20"/>
      <c r="D74" s="20"/>
      <c r="E74" s="22" t="s">
        <v>105</v>
      </c>
      <c r="F74" s="29">
        <v>0</v>
      </c>
    </row>
    <row r="75" spans="1:6" ht="15.75" customHeight="1" x14ac:dyDescent="0.25">
      <c r="A75" s="20"/>
      <c r="B75" s="20"/>
      <c r="C75" s="35" t="s">
        <v>106</v>
      </c>
      <c r="D75" s="36"/>
      <c r="E75" s="37"/>
      <c r="F75" s="38">
        <v>2018902</v>
      </c>
    </row>
    <row r="76" spans="1:6" ht="15.75" customHeight="1" x14ac:dyDescent="0.25">
      <c r="A76" s="20"/>
      <c r="B76" s="19" t="s">
        <v>1107</v>
      </c>
      <c r="C76" s="21"/>
      <c r="D76" s="21"/>
      <c r="E76" s="21"/>
      <c r="F76" s="28">
        <v>2018902</v>
      </c>
    </row>
    <row r="77" spans="1:6" ht="15.75" customHeight="1" x14ac:dyDescent="0.25">
      <c r="A77" s="20"/>
      <c r="B77" s="19">
        <v>964</v>
      </c>
      <c r="C77" s="19" t="s">
        <v>107</v>
      </c>
      <c r="D77" s="19" t="s">
        <v>108</v>
      </c>
      <c r="E77" s="19" t="s">
        <v>109</v>
      </c>
      <c r="F77" s="28">
        <v>435984</v>
      </c>
    </row>
    <row r="78" spans="1:6" ht="15.75" customHeight="1" x14ac:dyDescent="0.25">
      <c r="A78" s="20"/>
      <c r="B78" s="20"/>
      <c r="C78" s="35" t="s">
        <v>110</v>
      </c>
      <c r="D78" s="36"/>
      <c r="E78" s="37"/>
      <c r="F78" s="38">
        <v>435984</v>
      </c>
    </row>
    <row r="79" spans="1:6" ht="15.75" customHeight="1" x14ac:dyDescent="0.25">
      <c r="A79" s="20"/>
      <c r="B79" s="19" t="s">
        <v>1108</v>
      </c>
      <c r="C79" s="21"/>
      <c r="D79" s="21"/>
      <c r="E79" s="21"/>
      <c r="F79" s="28">
        <v>435984</v>
      </c>
    </row>
    <row r="80" spans="1:6" ht="15.75" customHeight="1" x14ac:dyDescent="0.25">
      <c r="A80" s="20"/>
      <c r="B80" s="19">
        <v>1086</v>
      </c>
      <c r="C80" s="19" t="s">
        <v>116</v>
      </c>
      <c r="D80" s="19" t="s">
        <v>66</v>
      </c>
      <c r="E80" s="19" t="s">
        <v>117</v>
      </c>
      <c r="F80" s="28">
        <v>376929.13500000001</v>
      </c>
    </row>
    <row r="81" spans="1:6" ht="15.75" customHeight="1" x14ac:dyDescent="0.25">
      <c r="A81" s="20"/>
      <c r="B81" s="20"/>
      <c r="C81" s="20"/>
      <c r="D81" s="19" t="s">
        <v>27</v>
      </c>
      <c r="E81" s="19" t="s">
        <v>118</v>
      </c>
      <c r="F81" s="28">
        <v>0</v>
      </c>
    </row>
    <row r="82" spans="1:6" ht="15.75" customHeight="1" x14ac:dyDescent="0.25">
      <c r="A82" s="20"/>
      <c r="B82" s="20"/>
      <c r="C82" s="35" t="s">
        <v>119</v>
      </c>
      <c r="D82" s="36"/>
      <c r="E82" s="37"/>
      <c r="F82" s="38">
        <v>376929.13500000001</v>
      </c>
    </row>
    <row r="83" spans="1:6" ht="15.75" customHeight="1" x14ac:dyDescent="0.25">
      <c r="A83" s="20"/>
      <c r="B83" s="19" t="s">
        <v>1109</v>
      </c>
      <c r="C83" s="21"/>
      <c r="D83" s="21"/>
      <c r="E83" s="21"/>
      <c r="F83" s="28">
        <v>376929.13500000001</v>
      </c>
    </row>
    <row r="84" spans="1:6" ht="15.75" customHeight="1" x14ac:dyDescent="0.25">
      <c r="A84" s="19" t="s">
        <v>120</v>
      </c>
      <c r="B84" s="21"/>
      <c r="C84" s="21"/>
      <c r="D84" s="21"/>
      <c r="E84" s="21"/>
      <c r="F84" s="28">
        <v>2831815.1349999998</v>
      </c>
    </row>
    <row r="85" spans="1:6" ht="15.75" customHeight="1" x14ac:dyDescent="0.25">
      <c r="A85" s="19" t="s">
        <v>5</v>
      </c>
      <c r="B85" s="19">
        <v>320</v>
      </c>
      <c r="C85" s="19" t="s">
        <v>145</v>
      </c>
      <c r="D85" s="19" t="s">
        <v>97</v>
      </c>
      <c r="E85" s="19" t="s">
        <v>146</v>
      </c>
      <c r="F85" s="28">
        <v>0</v>
      </c>
    </row>
    <row r="86" spans="1:6" ht="15.75" customHeight="1" x14ac:dyDescent="0.25">
      <c r="A86" s="20"/>
      <c r="B86" s="20"/>
      <c r="C86" s="20"/>
      <c r="D86" s="19" t="s">
        <v>45</v>
      </c>
      <c r="E86" s="19" t="s">
        <v>147</v>
      </c>
      <c r="F86" s="28">
        <v>523457</v>
      </c>
    </row>
    <row r="87" spans="1:6" ht="15.75" customHeight="1" x14ac:dyDescent="0.25">
      <c r="A87" s="20"/>
      <c r="B87" s="20"/>
      <c r="C87" s="20"/>
      <c r="D87" s="19" t="s">
        <v>148</v>
      </c>
      <c r="E87" s="19" t="s">
        <v>149</v>
      </c>
      <c r="F87" s="28">
        <v>1330521</v>
      </c>
    </row>
    <row r="88" spans="1:6" ht="15.75" customHeight="1" x14ac:dyDescent="0.25">
      <c r="A88" s="20"/>
      <c r="B88" s="20"/>
      <c r="C88" s="20"/>
      <c r="D88" s="19" t="s">
        <v>30</v>
      </c>
      <c r="E88" s="19" t="s">
        <v>150</v>
      </c>
      <c r="F88" s="28">
        <v>922947</v>
      </c>
    </row>
    <row r="89" spans="1:6" ht="15.75" customHeight="1" x14ac:dyDescent="0.25">
      <c r="A89" s="20"/>
      <c r="B89" s="20"/>
      <c r="C89" s="20"/>
      <c r="D89" s="19" t="s">
        <v>103</v>
      </c>
      <c r="E89" s="19" t="s">
        <v>151</v>
      </c>
      <c r="F89" s="28">
        <v>291925</v>
      </c>
    </row>
    <row r="90" spans="1:6" ht="15.75" customHeight="1" x14ac:dyDescent="0.25">
      <c r="A90" s="20"/>
      <c r="B90" s="20"/>
      <c r="C90" s="20"/>
      <c r="D90" s="20"/>
      <c r="E90" s="22" t="s">
        <v>152</v>
      </c>
      <c r="F90" s="29">
        <v>287248</v>
      </c>
    </row>
    <row r="91" spans="1:6" ht="15.75" customHeight="1" x14ac:dyDescent="0.25">
      <c r="A91" s="20"/>
      <c r="B91" s="20"/>
      <c r="C91" s="35" t="s">
        <v>153</v>
      </c>
      <c r="D91" s="36"/>
      <c r="E91" s="37"/>
      <c r="F91" s="38">
        <v>3356098</v>
      </c>
    </row>
    <row r="92" spans="1:6" ht="15.75" customHeight="1" x14ac:dyDescent="0.25">
      <c r="A92" s="20"/>
      <c r="B92" s="19" t="s">
        <v>1110</v>
      </c>
      <c r="C92" s="21"/>
      <c r="D92" s="21"/>
      <c r="E92" s="21"/>
      <c r="F92" s="28">
        <v>3356098</v>
      </c>
    </row>
    <row r="93" spans="1:6" ht="15.75" customHeight="1" x14ac:dyDescent="0.25">
      <c r="A93" s="20"/>
      <c r="B93" s="19">
        <v>823</v>
      </c>
      <c r="C93" s="19" t="s">
        <v>121</v>
      </c>
      <c r="D93" s="19" t="s">
        <v>21</v>
      </c>
      <c r="E93" s="19" t="s">
        <v>122</v>
      </c>
      <c r="F93" s="28">
        <v>715807</v>
      </c>
    </row>
    <row r="94" spans="1:6" ht="15.75" customHeight="1" x14ac:dyDescent="0.25">
      <c r="A94" s="20"/>
      <c r="B94" s="20"/>
      <c r="C94" s="20"/>
      <c r="D94" s="19" t="s">
        <v>51</v>
      </c>
      <c r="E94" s="19" t="s">
        <v>123</v>
      </c>
      <c r="F94" s="28">
        <v>0</v>
      </c>
    </row>
    <row r="95" spans="1:6" ht="15.75" customHeight="1" x14ac:dyDescent="0.25">
      <c r="A95" s="20"/>
      <c r="B95" s="20"/>
      <c r="C95" s="20"/>
      <c r="D95" s="19" t="s">
        <v>66</v>
      </c>
      <c r="E95" s="19" t="s">
        <v>124</v>
      </c>
      <c r="F95" s="28">
        <v>321226.5</v>
      </c>
    </row>
    <row r="96" spans="1:6" ht="15.75" customHeight="1" x14ac:dyDescent="0.25">
      <c r="A96" s="20"/>
      <c r="B96" s="20"/>
      <c r="C96" s="20"/>
      <c r="D96" s="19" t="s">
        <v>27</v>
      </c>
      <c r="E96" s="19" t="s">
        <v>125</v>
      </c>
      <c r="F96" s="28">
        <v>391535</v>
      </c>
    </row>
    <row r="97" spans="1:6" ht="15.75" customHeight="1" x14ac:dyDescent="0.25">
      <c r="A97" s="20"/>
      <c r="B97" s="20"/>
      <c r="C97" s="20"/>
      <c r="D97" s="20"/>
      <c r="E97" s="22" t="s">
        <v>126</v>
      </c>
      <c r="F97" s="29">
        <v>388122</v>
      </c>
    </row>
    <row r="98" spans="1:6" ht="15.75" customHeight="1" x14ac:dyDescent="0.25">
      <c r="A98" s="20"/>
      <c r="B98" s="20"/>
      <c r="C98" s="20"/>
      <c r="D98" s="20"/>
      <c r="E98" s="22" t="s">
        <v>127</v>
      </c>
      <c r="F98" s="29">
        <v>391535</v>
      </c>
    </row>
    <row r="99" spans="1:6" ht="15.75" customHeight="1" x14ac:dyDescent="0.25">
      <c r="A99" s="20"/>
      <c r="B99" s="20"/>
      <c r="C99" s="20"/>
      <c r="D99" s="20"/>
      <c r="E99" s="22" t="s">
        <v>128</v>
      </c>
      <c r="F99" s="29">
        <v>378551</v>
      </c>
    </row>
    <row r="100" spans="1:6" ht="15.75" customHeight="1" x14ac:dyDescent="0.25">
      <c r="A100" s="20"/>
      <c r="B100" s="20"/>
      <c r="C100" s="20"/>
      <c r="D100" s="19" t="s">
        <v>43</v>
      </c>
      <c r="E100" s="19" t="s">
        <v>129</v>
      </c>
      <c r="F100" s="28">
        <v>222539.5</v>
      </c>
    </row>
    <row r="101" spans="1:6" ht="15.75" customHeight="1" x14ac:dyDescent="0.25">
      <c r="A101" s="20"/>
      <c r="B101" s="20"/>
      <c r="C101" s="20"/>
      <c r="D101" s="19" t="s">
        <v>108</v>
      </c>
      <c r="E101" s="19" t="s">
        <v>130</v>
      </c>
      <c r="F101" s="28">
        <v>736220</v>
      </c>
    </row>
    <row r="102" spans="1:6" ht="15.75" customHeight="1" x14ac:dyDescent="0.25">
      <c r="A102" s="20"/>
      <c r="B102" s="20"/>
      <c r="C102" s="20"/>
      <c r="D102" s="19" t="s">
        <v>30</v>
      </c>
      <c r="E102" s="19" t="s">
        <v>131</v>
      </c>
      <c r="F102" s="28">
        <v>1158407</v>
      </c>
    </row>
    <row r="103" spans="1:6" ht="15.75" customHeight="1" x14ac:dyDescent="0.25">
      <c r="A103" s="20"/>
      <c r="B103" s="20"/>
      <c r="C103" s="35" t="s">
        <v>132</v>
      </c>
      <c r="D103" s="36"/>
      <c r="E103" s="37"/>
      <c r="F103" s="38">
        <v>4703943</v>
      </c>
    </row>
    <row r="104" spans="1:6" ht="15.75" customHeight="1" x14ac:dyDescent="0.25">
      <c r="A104" s="20"/>
      <c r="B104" s="19" t="s">
        <v>1111</v>
      </c>
      <c r="C104" s="21"/>
      <c r="D104" s="21"/>
      <c r="E104" s="21"/>
      <c r="F104" s="28">
        <v>4703943</v>
      </c>
    </row>
    <row r="105" spans="1:6" ht="15.75" customHeight="1" x14ac:dyDescent="0.25">
      <c r="A105" s="20"/>
      <c r="B105" s="19">
        <v>923</v>
      </c>
      <c r="C105" s="19" t="s">
        <v>133</v>
      </c>
      <c r="D105" s="19" t="s">
        <v>134</v>
      </c>
      <c r="E105" s="19" t="s">
        <v>135</v>
      </c>
      <c r="F105" s="28">
        <v>528571.429</v>
      </c>
    </row>
    <row r="106" spans="1:6" ht="15.75" customHeight="1" x14ac:dyDescent="0.25">
      <c r="A106" s="20"/>
      <c r="B106" s="20"/>
      <c r="C106" s="20"/>
      <c r="D106" s="19" t="s">
        <v>51</v>
      </c>
      <c r="E106" s="19" t="s">
        <v>136</v>
      </c>
      <c r="F106" s="28">
        <v>0</v>
      </c>
    </row>
    <row r="107" spans="1:6" ht="15.75" customHeight="1" x14ac:dyDescent="0.25">
      <c r="A107" s="20"/>
      <c r="B107" s="20"/>
      <c r="C107" s="20"/>
      <c r="D107" s="19" t="s">
        <v>66</v>
      </c>
      <c r="E107" s="19" t="s">
        <v>137</v>
      </c>
      <c r="F107" s="28">
        <v>0</v>
      </c>
    </row>
    <row r="108" spans="1:6" ht="15.75" customHeight="1" x14ac:dyDescent="0.25">
      <c r="A108" s="20"/>
      <c r="B108" s="20"/>
      <c r="C108" s="20"/>
      <c r="D108" s="20"/>
      <c r="E108" s="22" t="s">
        <v>138</v>
      </c>
      <c r="F108" s="29">
        <v>654165.3550000001</v>
      </c>
    </row>
    <row r="109" spans="1:6" ht="15.75" customHeight="1" x14ac:dyDescent="0.25">
      <c r="A109" s="20"/>
      <c r="B109" s="20"/>
      <c r="C109" s="20"/>
      <c r="D109" s="19" t="s">
        <v>27</v>
      </c>
      <c r="E109" s="19" t="s">
        <v>139</v>
      </c>
      <c r="F109" s="28">
        <v>0</v>
      </c>
    </row>
    <row r="110" spans="1:6" ht="15.75" customHeight="1" x14ac:dyDescent="0.25">
      <c r="A110" s="20"/>
      <c r="B110" s="20"/>
      <c r="C110" s="20"/>
      <c r="D110" s="19" t="s">
        <v>43</v>
      </c>
      <c r="E110" s="19" t="s">
        <v>140</v>
      </c>
      <c r="F110" s="28">
        <v>0</v>
      </c>
    </row>
    <row r="111" spans="1:6" ht="15.75" customHeight="1" x14ac:dyDescent="0.25">
      <c r="A111" s="20"/>
      <c r="B111" s="20"/>
      <c r="C111" s="20"/>
      <c r="D111" s="19" t="s">
        <v>141</v>
      </c>
      <c r="E111" s="19" t="s">
        <v>142</v>
      </c>
      <c r="F111" s="28">
        <v>749539.36700000009</v>
      </c>
    </row>
    <row r="112" spans="1:6" ht="15.75" customHeight="1" x14ac:dyDescent="0.25">
      <c r="A112" s="20"/>
      <c r="B112" s="20"/>
      <c r="C112" s="20"/>
      <c r="D112" s="19" t="s">
        <v>108</v>
      </c>
      <c r="E112" s="19" t="s">
        <v>143</v>
      </c>
      <c r="F112" s="28">
        <v>742913.38750000007</v>
      </c>
    </row>
    <row r="113" spans="1:6" ht="15.75" customHeight="1" x14ac:dyDescent="0.25">
      <c r="A113" s="20"/>
      <c r="B113" s="20"/>
      <c r="C113" s="35" t="s">
        <v>144</v>
      </c>
      <c r="D113" s="36"/>
      <c r="E113" s="37"/>
      <c r="F113" s="38">
        <v>2675189.5385000003</v>
      </c>
    </row>
    <row r="114" spans="1:6" ht="15.75" customHeight="1" x14ac:dyDescent="0.25">
      <c r="A114" s="20"/>
      <c r="B114" s="19" t="s">
        <v>1112</v>
      </c>
      <c r="C114" s="21"/>
      <c r="D114" s="21"/>
      <c r="E114" s="21"/>
      <c r="F114" s="28">
        <v>2675189.5385000003</v>
      </c>
    </row>
    <row r="115" spans="1:6" ht="15.75" customHeight="1" x14ac:dyDescent="0.25">
      <c r="A115" s="19" t="s">
        <v>154</v>
      </c>
      <c r="B115" s="21"/>
      <c r="C115" s="21"/>
      <c r="D115" s="21"/>
      <c r="E115" s="21"/>
      <c r="F115" s="28">
        <v>10735230.5385</v>
      </c>
    </row>
    <row r="116" spans="1:6" ht="15.75" customHeight="1" x14ac:dyDescent="0.25">
      <c r="A116" s="19" t="s">
        <v>6</v>
      </c>
      <c r="B116" s="19">
        <v>265</v>
      </c>
      <c r="C116" s="19" t="s">
        <v>162</v>
      </c>
      <c r="D116" s="19" t="s">
        <v>49</v>
      </c>
      <c r="E116" s="19" t="s">
        <v>163</v>
      </c>
      <c r="F116" s="28">
        <v>0</v>
      </c>
    </row>
    <row r="117" spans="1:6" ht="15.75" customHeight="1" x14ac:dyDescent="0.25">
      <c r="A117" s="20"/>
      <c r="B117" s="20"/>
      <c r="C117" s="20"/>
      <c r="D117" s="19" t="s">
        <v>51</v>
      </c>
      <c r="E117" s="19" t="s">
        <v>164</v>
      </c>
      <c r="F117" s="28">
        <v>0</v>
      </c>
    </row>
    <row r="118" spans="1:6" ht="15.75" customHeight="1" x14ac:dyDescent="0.25">
      <c r="A118" s="20"/>
      <c r="B118" s="20"/>
      <c r="C118" s="20"/>
      <c r="D118" s="19" t="s">
        <v>66</v>
      </c>
      <c r="E118" s="19" t="s">
        <v>165</v>
      </c>
      <c r="F118" s="28">
        <v>534425.19899999991</v>
      </c>
    </row>
    <row r="119" spans="1:6" ht="15.75" customHeight="1" x14ac:dyDescent="0.25">
      <c r="A119" s="20"/>
      <c r="B119" s="20"/>
      <c r="C119" s="20"/>
      <c r="D119" s="19" t="s">
        <v>97</v>
      </c>
      <c r="E119" s="19" t="s">
        <v>166</v>
      </c>
      <c r="F119" s="28">
        <v>499193.70199999993</v>
      </c>
    </row>
    <row r="120" spans="1:6" ht="15.75" customHeight="1" x14ac:dyDescent="0.25">
      <c r="A120" s="20"/>
      <c r="B120" s="20"/>
      <c r="C120" s="20"/>
      <c r="D120" s="19" t="s">
        <v>43</v>
      </c>
      <c r="E120" s="19" t="s">
        <v>167</v>
      </c>
      <c r="F120" s="28">
        <v>0</v>
      </c>
    </row>
    <row r="121" spans="1:6" ht="15.75" customHeight="1" x14ac:dyDescent="0.25">
      <c r="A121" s="20"/>
      <c r="B121" s="20"/>
      <c r="C121" s="20"/>
      <c r="D121" s="19" t="s">
        <v>45</v>
      </c>
      <c r="E121" s="19" t="s">
        <v>168</v>
      </c>
      <c r="F121" s="28">
        <v>496377.16799999995</v>
      </c>
    </row>
    <row r="122" spans="1:6" ht="15.75" customHeight="1" x14ac:dyDescent="0.25">
      <c r="A122" s="20"/>
      <c r="B122" s="20"/>
      <c r="C122" s="20"/>
      <c r="D122" s="19" t="s">
        <v>101</v>
      </c>
      <c r="E122" s="19" t="s">
        <v>169</v>
      </c>
      <c r="F122" s="28">
        <v>1107920.352</v>
      </c>
    </row>
    <row r="123" spans="1:6" ht="15.75" customHeight="1" x14ac:dyDescent="0.25">
      <c r="A123" s="20"/>
      <c r="B123" s="20"/>
      <c r="C123" s="35" t="s">
        <v>170</v>
      </c>
      <c r="D123" s="36"/>
      <c r="E123" s="37"/>
      <c r="F123" s="38">
        <v>2637916.4209999996</v>
      </c>
    </row>
    <row r="124" spans="1:6" ht="15.75" customHeight="1" x14ac:dyDescent="0.25">
      <c r="A124" s="20"/>
      <c r="B124" s="19" t="s">
        <v>1113</v>
      </c>
      <c r="C124" s="21"/>
      <c r="D124" s="21"/>
      <c r="E124" s="21"/>
      <c r="F124" s="28">
        <v>2637916.4209999996</v>
      </c>
    </row>
    <row r="125" spans="1:6" ht="15.75" customHeight="1" x14ac:dyDescent="0.25">
      <c r="A125" s="20"/>
      <c r="B125" s="19">
        <v>297</v>
      </c>
      <c r="C125" s="19" t="s">
        <v>171</v>
      </c>
      <c r="D125" s="19" t="s">
        <v>134</v>
      </c>
      <c r="E125" s="19" t="s">
        <v>172</v>
      </c>
      <c r="F125" s="28">
        <v>313655</v>
      </c>
    </row>
    <row r="126" spans="1:6" ht="15.75" customHeight="1" x14ac:dyDescent="0.25">
      <c r="A126" s="20"/>
      <c r="B126" s="20"/>
      <c r="C126" s="20"/>
      <c r="D126" s="19" t="s">
        <v>45</v>
      </c>
      <c r="E126" s="19" t="s">
        <v>173</v>
      </c>
      <c r="F126" s="28">
        <v>359843</v>
      </c>
    </row>
    <row r="127" spans="1:6" ht="15.75" customHeight="1" x14ac:dyDescent="0.25">
      <c r="A127" s="20"/>
      <c r="B127" s="20"/>
      <c r="C127" s="20"/>
      <c r="D127" s="19" t="s">
        <v>30</v>
      </c>
      <c r="E127" s="19" t="s">
        <v>174</v>
      </c>
      <c r="F127" s="28">
        <v>587795</v>
      </c>
    </row>
    <row r="128" spans="1:6" ht="15.75" customHeight="1" x14ac:dyDescent="0.25">
      <c r="A128" s="20"/>
      <c r="B128" s="20"/>
      <c r="C128" s="35" t="s">
        <v>175</v>
      </c>
      <c r="D128" s="36"/>
      <c r="E128" s="37"/>
      <c r="F128" s="38">
        <v>1261293</v>
      </c>
    </row>
    <row r="129" spans="1:6" ht="15.75" customHeight="1" x14ac:dyDescent="0.25">
      <c r="A129" s="20"/>
      <c r="B129" s="19" t="s">
        <v>1114</v>
      </c>
      <c r="C129" s="21"/>
      <c r="D129" s="21"/>
      <c r="E129" s="21"/>
      <c r="F129" s="28">
        <v>1261293</v>
      </c>
    </row>
    <row r="130" spans="1:6" ht="15.75" customHeight="1" x14ac:dyDescent="0.25">
      <c r="A130" s="20"/>
      <c r="B130" s="19">
        <v>308</v>
      </c>
      <c r="C130" s="19" t="s">
        <v>188</v>
      </c>
      <c r="D130" s="19" t="s">
        <v>21</v>
      </c>
      <c r="E130" s="19" t="s">
        <v>189</v>
      </c>
      <c r="F130" s="28">
        <v>0</v>
      </c>
    </row>
    <row r="131" spans="1:6" ht="15.75" customHeight="1" x14ac:dyDescent="0.25">
      <c r="A131" s="20"/>
      <c r="B131" s="20"/>
      <c r="C131" s="20"/>
      <c r="D131" s="19" t="s">
        <v>51</v>
      </c>
      <c r="E131" s="19" t="s">
        <v>190</v>
      </c>
      <c r="F131" s="28">
        <v>0</v>
      </c>
    </row>
    <row r="132" spans="1:6" ht="15.75" customHeight="1" x14ac:dyDescent="0.25">
      <c r="A132" s="20"/>
      <c r="B132" s="20"/>
      <c r="C132" s="20"/>
      <c r="D132" s="19" t="s">
        <v>97</v>
      </c>
      <c r="E132" s="19" t="s">
        <v>191</v>
      </c>
      <c r="F132" s="28">
        <v>566816</v>
      </c>
    </row>
    <row r="133" spans="1:6" ht="15.75" customHeight="1" x14ac:dyDescent="0.25">
      <c r="A133" s="20"/>
      <c r="B133" s="20"/>
      <c r="C133" s="20"/>
      <c r="D133" s="19" t="s">
        <v>45</v>
      </c>
      <c r="E133" s="19" t="s">
        <v>192</v>
      </c>
      <c r="F133" s="28">
        <v>297461</v>
      </c>
    </row>
    <row r="134" spans="1:6" ht="15.75" customHeight="1" x14ac:dyDescent="0.25">
      <c r="A134" s="20"/>
      <c r="B134" s="20"/>
      <c r="C134" s="20"/>
      <c r="D134" s="19" t="s">
        <v>108</v>
      </c>
      <c r="E134" s="19" t="s">
        <v>193</v>
      </c>
      <c r="F134" s="28">
        <v>728363</v>
      </c>
    </row>
    <row r="135" spans="1:6" ht="15.75" customHeight="1" x14ac:dyDescent="0.25">
      <c r="A135" s="20"/>
      <c r="B135" s="20"/>
      <c r="C135" s="20"/>
      <c r="D135" s="19" t="s">
        <v>30</v>
      </c>
      <c r="E135" s="19" t="s">
        <v>194</v>
      </c>
      <c r="F135" s="28">
        <v>0</v>
      </c>
    </row>
    <row r="136" spans="1:6" ht="15.75" customHeight="1" x14ac:dyDescent="0.25">
      <c r="A136" s="20"/>
      <c r="B136" s="20"/>
      <c r="C136" s="20"/>
      <c r="D136" s="19" t="s">
        <v>101</v>
      </c>
      <c r="E136" s="19" t="s">
        <v>195</v>
      </c>
      <c r="F136" s="28">
        <v>1325398</v>
      </c>
    </row>
    <row r="137" spans="1:6" ht="15.75" customHeight="1" x14ac:dyDescent="0.25">
      <c r="A137" s="20"/>
      <c r="B137" s="20"/>
      <c r="C137" s="20"/>
      <c r="D137" s="20"/>
      <c r="E137" s="22" t="s">
        <v>196</v>
      </c>
      <c r="F137" s="29">
        <v>1321216</v>
      </c>
    </row>
    <row r="138" spans="1:6" ht="15.75" customHeight="1" x14ac:dyDescent="0.25">
      <c r="A138" s="20"/>
      <c r="B138" s="20"/>
      <c r="C138" s="20"/>
      <c r="D138" s="20"/>
      <c r="E138" s="22" t="s">
        <v>197</v>
      </c>
      <c r="F138" s="29">
        <v>1281920</v>
      </c>
    </row>
    <row r="139" spans="1:6" ht="15.75" customHeight="1" x14ac:dyDescent="0.25">
      <c r="A139" s="20"/>
      <c r="B139" s="20"/>
      <c r="C139" s="35" t="s">
        <v>198</v>
      </c>
      <c r="D139" s="36"/>
      <c r="E139" s="37"/>
      <c r="F139" s="38">
        <v>5521174</v>
      </c>
    </row>
    <row r="140" spans="1:6" ht="15.75" customHeight="1" x14ac:dyDescent="0.25">
      <c r="A140" s="20"/>
      <c r="B140" s="19" t="s">
        <v>1115</v>
      </c>
      <c r="C140" s="21"/>
      <c r="D140" s="21"/>
      <c r="E140" s="21"/>
      <c r="F140" s="28">
        <v>5521174</v>
      </c>
    </row>
    <row r="141" spans="1:6" ht="15.75" customHeight="1" x14ac:dyDescent="0.25">
      <c r="A141" s="20"/>
      <c r="B141" s="19">
        <v>324</v>
      </c>
      <c r="C141" s="19" t="s">
        <v>176</v>
      </c>
      <c r="D141" s="19" t="s">
        <v>21</v>
      </c>
      <c r="E141" s="19" t="s">
        <v>177</v>
      </c>
      <c r="F141" s="28">
        <v>580654.42399999988</v>
      </c>
    </row>
    <row r="142" spans="1:6" ht="15.75" customHeight="1" x14ac:dyDescent="0.25">
      <c r="A142" s="20"/>
      <c r="B142" s="20"/>
      <c r="C142" s="20"/>
      <c r="D142" s="19" t="s">
        <v>49</v>
      </c>
      <c r="E142" s="19" t="s">
        <v>178</v>
      </c>
      <c r="F142" s="28">
        <v>497564.98399999994</v>
      </c>
    </row>
    <row r="143" spans="1:6" ht="15.75" customHeight="1" x14ac:dyDescent="0.25">
      <c r="A143" s="20"/>
      <c r="B143" s="20"/>
      <c r="C143" s="20"/>
      <c r="D143" s="19" t="s">
        <v>27</v>
      </c>
      <c r="E143" s="19" t="s">
        <v>179</v>
      </c>
      <c r="F143" s="28">
        <v>0</v>
      </c>
    </row>
    <row r="144" spans="1:6" ht="15.75" customHeight="1" x14ac:dyDescent="0.25">
      <c r="A144" s="20"/>
      <c r="B144" s="20"/>
      <c r="C144" s="20"/>
      <c r="D144" s="19" t="s">
        <v>43</v>
      </c>
      <c r="E144" s="19" t="s">
        <v>180</v>
      </c>
      <c r="F144" s="28">
        <v>0</v>
      </c>
    </row>
    <row r="145" spans="1:6" ht="15.75" customHeight="1" x14ac:dyDescent="0.25">
      <c r="A145" s="20"/>
      <c r="B145" s="20"/>
      <c r="C145" s="20"/>
      <c r="D145" s="19" t="s">
        <v>30</v>
      </c>
      <c r="E145" s="19" t="s">
        <v>182</v>
      </c>
      <c r="F145" s="28">
        <v>940956.74399999995</v>
      </c>
    </row>
    <row r="146" spans="1:6" ht="15.75" customHeight="1" x14ac:dyDescent="0.25">
      <c r="A146" s="20"/>
      <c r="B146" s="20"/>
      <c r="C146" s="35" t="s">
        <v>183</v>
      </c>
      <c r="D146" s="36"/>
      <c r="E146" s="37"/>
      <c r="F146" s="38">
        <v>2019176.1519999998</v>
      </c>
    </row>
    <row r="147" spans="1:6" ht="15.75" customHeight="1" x14ac:dyDescent="0.25">
      <c r="A147" s="20"/>
      <c r="B147" s="19" t="s">
        <v>1116</v>
      </c>
      <c r="C147" s="21"/>
      <c r="D147" s="21"/>
      <c r="E147" s="21"/>
      <c r="F147" s="28">
        <v>2019176.1519999998</v>
      </c>
    </row>
    <row r="148" spans="1:6" ht="15.75" customHeight="1" x14ac:dyDescent="0.25">
      <c r="A148" s="20"/>
      <c r="B148" s="19">
        <v>861</v>
      </c>
      <c r="C148" s="19" t="s">
        <v>155</v>
      </c>
      <c r="D148" s="19" t="s">
        <v>49</v>
      </c>
      <c r="E148" s="19" t="s">
        <v>156</v>
      </c>
      <c r="F148" s="28">
        <v>341100</v>
      </c>
    </row>
    <row r="149" spans="1:6" ht="15.75" customHeight="1" x14ac:dyDescent="0.25">
      <c r="A149" s="20"/>
      <c r="B149" s="20"/>
      <c r="C149" s="20"/>
      <c r="D149" s="19" t="s">
        <v>36</v>
      </c>
      <c r="E149" s="19" t="s">
        <v>157</v>
      </c>
      <c r="F149" s="28">
        <v>374016</v>
      </c>
    </row>
    <row r="150" spans="1:6" ht="15.75" customHeight="1" x14ac:dyDescent="0.25">
      <c r="A150" s="20"/>
      <c r="B150" s="20"/>
      <c r="C150" s="20"/>
      <c r="D150" s="19" t="s">
        <v>43</v>
      </c>
      <c r="E150" s="19" t="s">
        <v>158</v>
      </c>
      <c r="F150" s="28">
        <v>258819</v>
      </c>
    </row>
    <row r="151" spans="1:6" ht="15.75" customHeight="1" x14ac:dyDescent="0.25">
      <c r="A151" s="20"/>
      <c r="B151" s="20"/>
      <c r="C151" s="20"/>
      <c r="D151" s="20"/>
      <c r="E151" s="22" t="s">
        <v>159</v>
      </c>
      <c r="F151" s="29">
        <v>0</v>
      </c>
    </row>
    <row r="152" spans="1:6" ht="15.75" customHeight="1" x14ac:dyDescent="0.25">
      <c r="A152" s="20"/>
      <c r="B152" s="20"/>
      <c r="C152" s="20"/>
      <c r="D152" s="19" t="s">
        <v>45</v>
      </c>
      <c r="E152" s="19" t="s">
        <v>160</v>
      </c>
      <c r="F152" s="28">
        <v>189173</v>
      </c>
    </row>
    <row r="153" spans="1:6" ht="15.75" customHeight="1" x14ac:dyDescent="0.25">
      <c r="A153" s="20"/>
      <c r="B153" s="20"/>
      <c r="C153" s="35" t="s">
        <v>161</v>
      </c>
      <c r="D153" s="36"/>
      <c r="E153" s="37"/>
      <c r="F153" s="38">
        <v>1163108</v>
      </c>
    </row>
    <row r="154" spans="1:6" ht="15.75" customHeight="1" x14ac:dyDescent="0.25">
      <c r="A154" s="20"/>
      <c r="B154" s="19" t="s">
        <v>1117</v>
      </c>
      <c r="C154" s="21"/>
      <c r="D154" s="21"/>
      <c r="E154" s="21"/>
      <c r="F154" s="28">
        <v>1163108</v>
      </c>
    </row>
    <row r="155" spans="1:6" ht="15.75" customHeight="1" x14ac:dyDescent="0.25">
      <c r="A155" s="20"/>
      <c r="B155" s="19">
        <v>867</v>
      </c>
      <c r="C155" s="19" t="s">
        <v>203</v>
      </c>
      <c r="D155" s="19" t="s">
        <v>49</v>
      </c>
      <c r="E155" s="19" t="s">
        <v>204</v>
      </c>
      <c r="F155" s="28">
        <v>602295.27800000005</v>
      </c>
    </row>
    <row r="156" spans="1:6" ht="15.75" customHeight="1" x14ac:dyDescent="0.25">
      <c r="A156" s="20"/>
      <c r="B156" s="20"/>
      <c r="C156" s="20"/>
      <c r="D156" s="19" t="s">
        <v>51</v>
      </c>
      <c r="E156" s="19" t="s">
        <v>205</v>
      </c>
      <c r="F156" s="28">
        <v>0</v>
      </c>
    </row>
    <row r="157" spans="1:6" ht="15.75" customHeight="1" x14ac:dyDescent="0.25">
      <c r="A157" s="20"/>
      <c r="B157" s="20"/>
      <c r="C157" s="20"/>
      <c r="D157" s="19" t="s">
        <v>66</v>
      </c>
      <c r="E157" s="19" t="s">
        <v>206</v>
      </c>
      <c r="F157" s="28">
        <v>649145.67150000005</v>
      </c>
    </row>
    <row r="158" spans="1:6" ht="15.75" customHeight="1" x14ac:dyDescent="0.25">
      <c r="A158" s="20"/>
      <c r="B158" s="20"/>
      <c r="C158" s="20"/>
      <c r="D158" s="19" t="s">
        <v>97</v>
      </c>
      <c r="E158" s="19" t="s">
        <v>207</v>
      </c>
      <c r="F158" s="28">
        <v>595602.36100000003</v>
      </c>
    </row>
    <row r="159" spans="1:6" ht="15.75" customHeight="1" x14ac:dyDescent="0.25">
      <c r="A159" s="20"/>
      <c r="B159" s="20"/>
      <c r="C159" s="20"/>
      <c r="D159" s="19" t="s">
        <v>27</v>
      </c>
      <c r="E159" s="19" t="s">
        <v>209</v>
      </c>
      <c r="F159" s="28">
        <v>390746.36000000004</v>
      </c>
    </row>
    <row r="160" spans="1:6" ht="15.75" customHeight="1" x14ac:dyDescent="0.25">
      <c r="A160" s="20"/>
      <c r="B160" s="20"/>
      <c r="C160" s="20"/>
      <c r="D160" s="19" t="s">
        <v>43</v>
      </c>
      <c r="E160" s="19" t="s">
        <v>210</v>
      </c>
      <c r="F160" s="28">
        <v>0</v>
      </c>
    </row>
    <row r="161" spans="1:6" ht="15.75" customHeight="1" x14ac:dyDescent="0.25">
      <c r="A161" s="20"/>
      <c r="B161" s="20"/>
      <c r="C161" s="20"/>
      <c r="D161" s="19" t="s">
        <v>45</v>
      </c>
      <c r="E161" s="19" t="s">
        <v>211</v>
      </c>
      <c r="F161" s="28">
        <v>614341.18050000002</v>
      </c>
    </row>
    <row r="162" spans="1:6" ht="15.75" customHeight="1" x14ac:dyDescent="0.25">
      <c r="A162" s="20"/>
      <c r="B162" s="20"/>
      <c r="C162" s="35" t="s">
        <v>212</v>
      </c>
      <c r="D162" s="36"/>
      <c r="E162" s="37"/>
      <c r="F162" s="38">
        <v>2852130.8509999998</v>
      </c>
    </row>
    <row r="163" spans="1:6" ht="15.75" customHeight="1" x14ac:dyDescent="0.25">
      <c r="A163" s="20"/>
      <c r="B163" s="19" t="s">
        <v>1118</v>
      </c>
      <c r="C163" s="21"/>
      <c r="D163" s="21"/>
      <c r="E163" s="21"/>
      <c r="F163" s="28">
        <v>2852130.8509999998</v>
      </c>
    </row>
    <row r="164" spans="1:6" ht="15.75" customHeight="1" x14ac:dyDescent="0.25">
      <c r="A164" s="20"/>
      <c r="B164" s="19">
        <v>966</v>
      </c>
      <c r="C164" s="19" t="s">
        <v>213</v>
      </c>
      <c r="D164" s="19" t="s">
        <v>21</v>
      </c>
      <c r="E164" s="19" t="s">
        <v>214</v>
      </c>
      <c r="F164" s="28">
        <v>705540</v>
      </c>
    </row>
    <row r="165" spans="1:6" ht="15.75" customHeight="1" x14ac:dyDescent="0.25">
      <c r="A165" s="20"/>
      <c r="B165" s="20"/>
      <c r="C165" s="20"/>
      <c r="D165" s="19" t="s">
        <v>49</v>
      </c>
      <c r="E165" s="19" t="s">
        <v>215</v>
      </c>
      <c r="F165" s="28">
        <v>584675</v>
      </c>
    </row>
    <row r="166" spans="1:6" ht="15.75" customHeight="1" x14ac:dyDescent="0.25">
      <c r="A166" s="20"/>
      <c r="B166" s="20"/>
      <c r="C166" s="20"/>
      <c r="D166" s="19" t="s">
        <v>51</v>
      </c>
      <c r="E166" s="19" t="s">
        <v>216</v>
      </c>
      <c r="F166" s="28">
        <v>0</v>
      </c>
    </row>
    <row r="167" spans="1:6" ht="15.75" customHeight="1" x14ac:dyDescent="0.25">
      <c r="A167" s="20"/>
      <c r="B167" s="20"/>
      <c r="C167" s="20"/>
      <c r="D167" s="19" t="s">
        <v>66</v>
      </c>
      <c r="E167" s="19" t="s">
        <v>217</v>
      </c>
      <c r="F167" s="28">
        <v>632935</v>
      </c>
    </row>
    <row r="168" spans="1:6" ht="15.75" customHeight="1" x14ac:dyDescent="0.25">
      <c r="A168" s="20"/>
      <c r="B168" s="20"/>
      <c r="C168" s="20"/>
      <c r="D168" s="19" t="s">
        <v>25</v>
      </c>
      <c r="E168" s="19" t="s">
        <v>218</v>
      </c>
      <c r="F168" s="28">
        <v>692148</v>
      </c>
    </row>
    <row r="169" spans="1:6" ht="15.75" customHeight="1" x14ac:dyDescent="0.25">
      <c r="A169" s="20"/>
      <c r="B169" s="20"/>
      <c r="C169" s="20"/>
      <c r="D169" s="19" t="s">
        <v>27</v>
      </c>
      <c r="E169" s="19" t="s">
        <v>219</v>
      </c>
      <c r="F169" s="28">
        <v>0</v>
      </c>
    </row>
    <row r="170" spans="1:6" ht="15.75" customHeight="1" x14ac:dyDescent="0.25">
      <c r="A170" s="20"/>
      <c r="B170" s="20"/>
      <c r="C170" s="20"/>
      <c r="D170" s="19" t="s">
        <v>58</v>
      </c>
      <c r="E170" s="19" t="s">
        <v>220</v>
      </c>
      <c r="F170" s="28">
        <v>645866</v>
      </c>
    </row>
    <row r="171" spans="1:6" ht="15.75" customHeight="1" x14ac:dyDescent="0.25">
      <c r="A171" s="20"/>
      <c r="B171" s="20"/>
      <c r="C171" s="20"/>
      <c r="D171" s="19" t="s">
        <v>103</v>
      </c>
      <c r="E171" s="19" t="s">
        <v>221</v>
      </c>
      <c r="F171" s="28">
        <v>690591</v>
      </c>
    </row>
    <row r="172" spans="1:6" ht="15.75" customHeight="1" x14ac:dyDescent="0.25">
      <c r="A172" s="20"/>
      <c r="B172" s="20"/>
      <c r="C172" s="20"/>
      <c r="D172" s="19" t="s">
        <v>32</v>
      </c>
      <c r="E172" s="19" t="s">
        <v>222</v>
      </c>
      <c r="F172" s="28">
        <v>0</v>
      </c>
    </row>
    <row r="173" spans="1:6" ht="15.75" customHeight="1" x14ac:dyDescent="0.25">
      <c r="A173" s="20"/>
      <c r="B173" s="20"/>
      <c r="C173" s="35" t="s">
        <v>223</v>
      </c>
      <c r="D173" s="36"/>
      <c r="E173" s="37"/>
      <c r="F173" s="38">
        <v>3951755</v>
      </c>
    </row>
    <row r="174" spans="1:6" ht="15.75" customHeight="1" x14ac:dyDescent="0.25">
      <c r="A174" s="20"/>
      <c r="B174" s="19" t="s">
        <v>1119</v>
      </c>
      <c r="C174" s="21"/>
      <c r="D174" s="21"/>
      <c r="E174" s="21"/>
      <c r="F174" s="28">
        <v>3951755</v>
      </c>
    </row>
    <row r="175" spans="1:6" ht="15.75" customHeight="1" x14ac:dyDescent="0.25">
      <c r="A175" s="20"/>
      <c r="B175" s="19">
        <v>1076</v>
      </c>
      <c r="C175" s="19" t="s">
        <v>184</v>
      </c>
      <c r="D175" s="19" t="s">
        <v>27</v>
      </c>
      <c r="E175" s="19" t="s">
        <v>185</v>
      </c>
      <c r="F175" s="28">
        <v>200941</v>
      </c>
    </row>
    <row r="176" spans="1:6" ht="15.75" customHeight="1" x14ac:dyDescent="0.25">
      <c r="A176" s="20"/>
      <c r="B176" s="20"/>
      <c r="C176" s="20"/>
      <c r="D176" s="19" t="s">
        <v>30</v>
      </c>
      <c r="E176" s="19" t="s">
        <v>186</v>
      </c>
      <c r="F176" s="28">
        <v>0</v>
      </c>
    </row>
    <row r="177" spans="1:6" ht="15.75" customHeight="1" x14ac:dyDescent="0.25">
      <c r="A177" s="20"/>
      <c r="B177" s="20"/>
      <c r="C177" s="35" t="s">
        <v>187</v>
      </c>
      <c r="D177" s="36"/>
      <c r="E177" s="37"/>
      <c r="F177" s="38">
        <v>200941</v>
      </c>
    </row>
    <row r="178" spans="1:6" ht="15.75" customHeight="1" x14ac:dyDescent="0.25">
      <c r="A178" s="20"/>
      <c r="B178" s="19" t="s">
        <v>1120</v>
      </c>
      <c r="C178" s="21"/>
      <c r="D178" s="21"/>
      <c r="E178" s="21"/>
      <c r="F178" s="28">
        <v>200941</v>
      </c>
    </row>
    <row r="179" spans="1:6" ht="15.75" customHeight="1" x14ac:dyDescent="0.25">
      <c r="A179" s="20"/>
      <c r="B179" s="19">
        <v>1077</v>
      </c>
      <c r="C179" s="19" t="s">
        <v>199</v>
      </c>
      <c r="D179" s="19" t="s">
        <v>21</v>
      </c>
      <c r="E179" s="19" t="s">
        <v>200</v>
      </c>
      <c r="F179" s="28">
        <v>332828</v>
      </c>
    </row>
    <row r="180" spans="1:6" ht="15.75" customHeight="1" x14ac:dyDescent="0.25">
      <c r="A180" s="20"/>
      <c r="B180" s="20"/>
      <c r="C180" s="20"/>
      <c r="D180" s="19" t="s">
        <v>49</v>
      </c>
      <c r="E180" s="19" t="s">
        <v>201</v>
      </c>
      <c r="F180" s="28">
        <v>274167</v>
      </c>
    </row>
    <row r="181" spans="1:6" ht="15.75" customHeight="1" x14ac:dyDescent="0.25">
      <c r="A181" s="20"/>
      <c r="B181" s="20"/>
      <c r="C181" s="35" t="s">
        <v>202</v>
      </c>
      <c r="D181" s="36"/>
      <c r="E181" s="37"/>
      <c r="F181" s="38">
        <v>606995</v>
      </c>
    </row>
    <row r="182" spans="1:6" ht="15.75" customHeight="1" x14ac:dyDescent="0.25">
      <c r="A182" s="20"/>
      <c r="B182" s="19" t="s">
        <v>1121</v>
      </c>
      <c r="C182" s="21"/>
      <c r="D182" s="21"/>
      <c r="E182" s="21"/>
      <c r="F182" s="28">
        <v>606995</v>
      </c>
    </row>
    <row r="183" spans="1:6" ht="15.75" customHeight="1" x14ac:dyDescent="0.25">
      <c r="A183" s="20"/>
      <c r="B183" s="19" t="s">
        <v>700</v>
      </c>
      <c r="C183" s="19" t="s">
        <v>176</v>
      </c>
      <c r="D183" s="19" t="s">
        <v>108</v>
      </c>
      <c r="E183" s="19" t="s">
        <v>181</v>
      </c>
      <c r="F183" s="28">
        <v>608321.6719999999</v>
      </c>
    </row>
    <row r="184" spans="1:6" ht="15.75" customHeight="1" x14ac:dyDescent="0.25">
      <c r="A184" s="20"/>
      <c r="B184" s="20"/>
      <c r="C184" s="35" t="s">
        <v>183</v>
      </c>
      <c r="D184" s="36"/>
      <c r="E184" s="37"/>
      <c r="F184" s="38">
        <v>608321.6719999999</v>
      </c>
    </row>
    <row r="185" spans="1:6" ht="15.75" customHeight="1" x14ac:dyDescent="0.25">
      <c r="A185" s="20"/>
      <c r="B185" s="19" t="s">
        <v>1116</v>
      </c>
      <c r="C185" s="21"/>
      <c r="D185" s="21"/>
      <c r="E185" s="21"/>
      <c r="F185" s="28">
        <v>608321.6719999999</v>
      </c>
    </row>
    <row r="186" spans="1:6" ht="15.75" customHeight="1" x14ac:dyDescent="0.25">
      <c r="A186" s="20"/>
      <c r="B186" s="19" t="s">
        <v>747</v>
      </c>
      <c r="C186" s="19" t="s">
        <v>203</v>
      </c>
      <c r="D186" s="19" t="s">
        <v>97</v>
      </c>
      <c r="E186" s="19" t="s">
        <v>208</v>
      </c>
      <c r="F186" s="28">
        <v>568108.56700000004</v>
      </c>
    </row>
    <row r="187" spans="1:6" ht="15.75" customHeight="1" x14ac:dyDescent="0.25">
      <c r="A187" s="20"/>
      <c r="B187" s="20"/>
      <c r="C187" s="35" t="s">
        <v>212</v>
      </c>
      <c r="D187" s="36"/>
      <c r="E187" s="37"/>
      <c r="F187" s="38">
        <v>568108.56700000004</v>
      </c>
    </row>
    <row r="188" spans="1:6" ht="15.75" customHeight="1" x14ac:dyDescent="0.25">
      <c r="A188" s="20"/>
      <c r="B188" s="19" t="s">
        <v>1118</v>
      </c>
      <c r="C188" s="21"/>
      <c r="D188" s="21"/>
      <c r="E188" s="21"/>
      <c r="F188" s="28">
        <v>568108.56700000004</v>
      </c>
    </row>
    <row r="189" spans="1:6" ht="15.75" customHeight="1" x14ac:dyDescent="0.25">
      <c r="A189" s="19" t="s">
        <v>224</v>
      </c>
      <c r="B189" s="21"/>
      <c r="C189" s="21"/>
      <c r="D189" s="21"/>
      <c r="E189" s="21"/>
      <c r="F189" s="28">
        <v>21390919.662999999</v>
      </c>
    </row>
    <row r="190" spans="1:6" ht="15.75" customHeight="1" x14ac:dyDescent="0.25">
      <c r="A190" s="19" t="s">
        <v>7</v>
      </c>
      <c r="B190" s="19">
        <v>998</v>
      </c>
      <c r="C190" s="19" t="s">
        <v>225</v>
      </c>
      <c r="D190" s="19" t="s">
        <v>87</v>
      </c>
      <c r="E190" s="19" t="s">
        <v>226</v>
      </c>
      <c r="F190" s="28">
        <v>972441</v>
      </c>
    </row>
    <row r="191" spans="1:6" ht="15.75" customHeight="1" x14ac:dyDescent="0.25">
      <c r="A191" s="20"/>
      <c r="B191" s="20"/>
      <c r="C191" s="20"/>
      <c r="D191" s="19" t="s">
        <v>89</v>
      </c>
      <c r="E191" s="19" t="s">
        <v>227</v>
      </c>
      <c r="F191" s="28">
        <v>920472</v>
      </c>
    </row>
    <row r="192" spans="1:6" ht="15.75" customHeight="1" x14ac:dyDescent="0.25">
      <c r="A192" s="20"/>
      <c r="B192" s="20"/>
      <c r="C192" s="35" t="s">
        <v>228</v>
      </c>
      <c r="D192" s="36"/>
      <c r="E192" s="37"/>
      <c r="F192" s="38">
        <v>1892913</v>
      </c>
    </row>
    <row r="193" spans="1:6" ht="15.75" customHeight="1" x14ac:dyDescent="0.25">
      <c r="A193" s="20"/>
      <c r="B193" s="19" t="s">
        <v>1122</v>
      </c>
      <c r="C193" s="21"/>
      <c r="D193" s="21"/>
      <c r="E193" s="21"/>
      <c r="F193" s="28">
        <v>1892913</v>
      </c>
    </row>
    <row r="194" spans="1:6" ht="15.75" customHeight="1" x14ac:dyDescent="0.25">
      <c r="A194" s="19" t="s">
        <v>229</v>
      </c>
      <c r="B194" s="21"/>
      <c r="C194" s="21"/>
      <c r="D194" s="21"/>
      <c r="E194" s="21"/>
      <c r="F194" s="28">
        <v>1892913</v>
      </c>
    </row>
    <row r="195" spans="1:6" ht="15.75" customHeight="1" x14ac:dyDescent="0.25">
      <c r="A195" s="19" t="s">
        <v>8</v>
      </c>
      <c r="B195" s="19">
        <v>272</v>
      </c>
      <c r="C195" s="19" t="s">
        <v>248</v>
      </c>
      <c r="D195" s="19" t="s">
        <v>21</v>
      </c>
      <c r="E195" s="19" t="s">
        <v>249</v>
      </c>
      <c r="F195" s="28">
        <v>700114</v>
      </c>
    </row>
    <row r="196" spans="1:6" ht="15.75" customHeight="1" x14ac:dyDescent="0.25">
      <c r="A196" s="20"/>
      <c r="B196" s="20"/>
      <c r="C196" s="20"/>
      <c r="D196" s="20"/>
      <c r="E196" s="22" t="s">
        <v>250</v>
      </c>
      <c r="F196" s="29">
        <v>700114</v>
      </c>
    </row>
    <row r="197" spans="1:6" ht="15.75" customHeight="1" x14ac:dyDescent="0.25">
      <c r="A197" s="20"/>
      <c r="B197" s="20"/>
      <c r="C197" s="20"/>
      <c r="D197" s="19" t="s">
        <v>49</v>
      </c>
      <c r="E197" s="19" t="s">
        <v>251</v>
      </c>
      <c r="F197" s="28">
        <v>579081</v>
      </c>
    </row>
    <row r="198" spans="1:6" ht="15.75" customHeight="1" x14ac:dyDescent="0.25">
      <c r="A198" s="20"/>
      <c r="B198" s="20"/>
      <c r="C198" s="20"/>
      <c r="D198" s="19" t="s">
        <v>25</v>
      </c>
      <c r="E198" s="19" t="s">
        <v>252</v>
      </c>
      <c r="F198" s="28">
        <v>707709</v>
      </c>
    </row>
    <row r="199" spans="1:6" ht="15.75" customHeight="1" x14ac:dyDescent="0.25">
      <c r="A199" s="20"/>
      <c r="B199" s="20"/>
      <c r="C199" s="20"/>
      <c r="D199" s="19" t="s">
        <v>36</v>
      </c>
      <c r="E199" s="19" t="s">
        <v>253</v>
      </c>
      <c r="F199" s="28">
        <v>608723</v>
      </c>
    </row>
    <row r="200" spans="1:6" ht="15.75" customHeight="1" x14ac:dyDescent="0.25">
      <c r="A200" s="20"/>
      <c r="B200" s="20"/>
      <c r="C200" s="20"/>
      <c r="D200" s="19" t="s">
        <v>27</v>
      </c>
      <c r="E200" s="19" t="s">
        <v>254</v>
      </c>
      <c r="F200" s="28">
        <v>388122</v>
      </c>
    </row>
    <row r="201" spans="1:6" ht="15.75" customHeight="1" x14ac:dyDescent="0.25">
      <c r="A201" s="20"/>
      <c r="B201" s="20"/>
      <c r="C201" s="20"/>
      <c r="D201" s="20"/>
      <c r="E201" s="22" t="s">
        <v>255</v>
      </c>
      <c r="F201" s="29">
        <v>0</v>
      </c>
    </row>
    <row r="202" spans="1:6" ht="15.75" customHeight="1" x14ac:dyDescent="0.25">
      <c r="A202" s="20"/>
      <c r="B202" s="20"/>
      <c r="C202" s="20"/>
      <c r="D202" s="20"/>
      <c r="E202" s="22" t="s">
        <v>256</v>
      </c>
      <c r="F202" s="29">
        <v>388122</v>
      </c>
    </row>
    <row r="203" spans="1:6" ht="15.75" customHeight="1" x14ac:dyDescent="0.25">
      <c r="A203" s="20"/>
      <c r="B203" s="20"/>
      <c r="C203" s="20"/>
      <c r="D203" s="19" t="s">
        <v>43</v>
      </c>
      <c r="E203" s="19" t="s">
        <v>257</v>
      </c>
      <c r="F203" s="28">
        <v>439992</v>
      </c>
    </row>
    <row r="204" spans="1:6" ht="15.75" customHeight="1" x14ac:dyDescent="0.25">
      <c r="A204" s="20"/>
      <c r="B204" s="20"/>
      <c r="C204" s="20"/>
      <c r="D204" s="20"/>
      <c r="E204" s="22" t="s">
        <v>258</v>
      </c>
      <c r="F204" s="29">
        <v>0</v>
      </c>
    </row>
    <row r="205" spans="1:6" ht="15.75" customHeight="1" x14ac:dyDescent="0.25">
      <c r="A205" s="20"/>
      <c r="B205" s="20"/>
      <c r="C205" s="20"/>
      <c r="D205" s="20"/>
      <c r="E205" s="22" t="s">
        <v>259</v>
      </c>
      <c r="F205" s="29">
        <v>439992</v>
      </c>
    </row>
    <row r="206" spans="1:6" ht="15.75" customHeight="1" x14ac:dyDescent="0.25">
      <c r="A206" s="20"/>
      <c r="B206" s="20"/>
      <c r="C206" s="20"/>
      <c r="D206" s="19" t="s">
        <v>108</v>
      </c>
      <c r="E206" s="19" t="s">
        <v>260</v>
      </c>
      <c r="F206" s="28">
        <v>731704</v>
      </c>
    </row>
    <row r="207" spans="1:6" ht="15.75" customHeight="1" x14ac:dyDescent="0.25">
      <c r="A207" s="20"/>
      <c r="B207" s="20"/>
      <c r="C207" s="20"/>
      <c r="D207" s="19" t="s">
        <v>30</v>
      </c>
      <c r="E207" s="19" t="s">
        <v>261</v>
      </c>
      <c r="F207" s="28">
        <v>1125406</v>
      </c>
    </row>
    <row r="208" spans="1:6" ht="15.75" customHeight="1" x14ac:dyDescent="0.25">
      <c r="A208" s="20"/>
      <c r="B208" s="20"/>
      <c r="C208" s="20"/>
      <c r="D208" s="19" t="s">
        <v>101</v>
      </c>
      <c r="E208" s="19" t="s">
        <v>262</v>
      </c>
      <c r="F208" s="28">
        <v>0</v>
      </c>
    </row>
    <row r="209" spans="1:6" ht="15.75" customHeight="1" x14ac:dyDescent="0.25">
      <c r="A209" s="20"/>
      <c r="B209" s="20"/>
      <c r="C209" s="35" t="s">
        <v>263</v>
      </c>
      <c r="D209" s="36"/>
      <c r="E209" s="37"/>
      <c r="F209" s="38">
        <v>6809079</v>
      </c>
    </row>
    <row r="210" spans="1:6" ht="15.75" customHeight="1" x14ac:dyDescent="0.25">
      <c r="A210" s="20"/>
      <c r="B210" s="19" t="s">
        <v>1123</v>
      </c>
      <c r="C210" s="21"/>
      <c r="D210" s="21"/>
      <c r="E210" s="21"/>
      <c r="F210" s="28">
        <v>6809079</v>
      </c>
    </row>
    <row r="211" spans="1:6" ht="15.75" customHeight="1" x14ac:dyDescent="0.25">
      <c r="A211" s="20"/>
      <c r="B211" s="19">
        <v>279</v>
      </c>
      <c r="C211" s="19" t="s">
        <v>302</v>
      </c>
      <c r="D211" s="19" t="s">
        <v>43</v>
      </c>
      <c r="E211" s="19" t="s">
        <v>303</v>
      </c>
      <c r="F211" s="28">
        <v>439992</v>
      </c>
    </row>
    <row r="212" spans="1:6" ht="15.75" customHeight="1" x14ac:dyDescent="0.25">
      <c r="A212" s="20"/>
      <c r="B212" s="20"/>
      <c r="C212" s="20"/>
      <c r="D212" s="20"/>
      <c r="E212" s="22" t="s">
        <v>304</v>
      </c>
      <c r="F212" s="29">
        <v>439992</v>
      </c>
    </row>
    <row r="213" spans="1:6" ht="15.75" customHeight="1" x14ac:dyDescent="0.25">
      <c r="A213" s="20"/>
      <c r="B213" s="20"/>
      <c r="C213" s="20"/>
      <c r="D213" s="20"/>
      <c r="E213" s="22" t="s">
        <v>305</v>
      </c>
      <c r="F213" s="29">
        <v>0</v>
      </c>
    </row>
    <row r="214" spans="1:6" ht="15.75" customHeight="1" x14ac:dyDescent="0.25">
      <c r="A214" s="20"/>
      <c r="B214" s="20"/>
      <c r="C214" s="20"/>
      <c r="D214" s="20"/>
      <c r="E214" s="22" t="s">
        <v>306</v>
      </c>
      <c r="F214" s="29">
        <v>0</v>
      </c>
    </row>
    <row r="215" spans="1:6" ht="15.75" customHeight="1" x14ac:dyDescent="0.25">
      <c r="A215" s="20"/>
      <c r="B215" s="20"/>
      <c r="C215" s="20"/>
      <c r="D215" s="19" t="s">
        <v>307</v>
      </c>
      <c r="E215" s="19" t="s">
        <v>308</v>
      </c>
      <c r="F215" s="28">
        <v>521981</v>
      </c>
    </row>
    <row r="216" spans="1:6" ht="15.75" customHeight="1" x14ac:dyDescent="0.25">
      <c r="A216" s="20"/>
      <c r="B216" s="20"/>
      <c r="C216" s="20"/>
      <c r="D216" s="19" t="s">
        <v>30</v>
      </c>
      <c r="E216" s="19" t="s">
        <v>309</v>
      </c>
      <c r="F216" s="28">
        <v>0</v>
      </c>
    </row>
    <row r="217" spans="1:6" ht="15.75" customHeight="1" x14ac:dyDescent="0.25">
      <c r="A217" s="20"/>
      <c r="B217" s="20"/>
      <c r="C217" s="20"/>
      <c r="D217" s="19" t="s">
        <v>101</v>
      </c>
      <c r="E217" s="19" t="s">
        <v>310</v>
      </c>
      <c r="F217" s="28">
        <v>1343867</v>
      </c>
    </row>
    <row r="218" spans="1:6" ht="15.75" customHeight="1" x14ac:dyDescent="0.25">
      <c r="A218" s="20"/>
      <c r="B218" s="20"/>
      <c r="C218" s="20"/>
      <c r="D218" s="20"/>
      <c r="E218" s="22" t="s">
        <v>311</v>
      </c>
      <c r="F218" s="29">
        <v>1333221</v>
      </c>
    </row>
    <row r="219" spans="1:6" ht="15.75" customHeight="1" x14ac:dyDescent="0.25">
      <c r="A219" s="20"/>
      <c r="B219" s="20"/>
      <c r="C219" s="35" t="s">
        <v>312</v>
      </c>
      <c r="D219" s="36"/>
      <c r="E219" s="37"/>
      <c r="F219" s="38">
        <v>4079053</v>
      </c>
    </row>
    <row r="220" spans="1:6" ht="15.75" customHeight="1" x14ac:dyDescent="0.25">
      <c r="A220" s="20"/>
      <c r="B220" s="19" t="s">
        <v>1124</v>
      </c>
      <c r="C220" s="21"/>
      <c r="D220" s="21"/>
      <c r="E220" s="21"/>
      <c r="F220" s="28">
        <v>4079053</v>
      </c>
    </row>
    <row r="221" spans="1:6" ht="15.75" customHeight="1" x14ac:dyDescent="0.25">
      <c r="A221" s="20"/>
      <c r="B221" s="19">
        <v>297</v>
      </c>
      <c r="C221" s="19" t="s">
        <v>171</v>
      </c>
      <c r="D221" s="19" t="s">
        <v>246</v>
      </c>
      <c r="E221" s="19" t="s">
        <v>247</v>
      </c>
      <c r="F221" s="28">
        <v>347059</v>
      </c>
    </row>
    <row r="222" spans="1:6" ht="15.75" customHeight="1" x14ac:dyDescent="0.25">
      <c r="A222" s="20"/>
      <c r="B222" s="20"/>
      <c r="C222" s="35" t="s">
        <v>175</v>
      </c>
      <c r="D222" s="36"/>
      <c r="E222" s="37"/>
      <c r="F222" s="38">
        <v>347059</v>
      </c>
    </row>
    <row r="223" spans="1:6" ht="15.75" customHeight="1" x14ac:dyDescent="0.25">
      <c r="A223" s="20"/>
      <c r="B223" s="19" t="s">
        <v>1114</v>
      </c>
      <c r="C223" s="21"/>
      <c r="D223" s="21"/>
      <c r="E223" s="21"/>
      <c r="F223" s="28">
        <v>347059</v>
      </c>
    </row>
    <row r="224" spans="1:6" ht="15.75" customHeight="1" x14ac:dyDescent="0.25">
      <c r="A224" s="20"/>
      <c r="B224" s="19">
        <v>464</v>
      </c>
      <c r="C224" s="19" t="s">
        <v>240</v>
      </c>
      <c r="D224" s="19" t="s">
        <v>27</v>
      </c>
      <c r="E224" s="19" t="s">
        <v>241</v>
      </c>
      <c r="F224" s="28">
        <v>0</v>
      </c>
    </row>
    <row r="225" spans="1:6" ht="15.75" customHeight="1" x14ac:dyDescent="0.25">
      <c r="A225" s="20"/>
      <c r="B225" s="20"/>
      <c r="C225" s="20"/>
      <c r="D225" s="19" t="s">
        <v>30</v>
      </c>
      <c r="E225" s="19" t="s">
        <v>242</v>
      </c>
      <c r="F225" s="28">
        <v>545982</v>
      </c>
    </row>
    <row r="226" spans="1:6" ht="15.75" customHeight="1" x14ac:dyDescent="0.25">
      <c r="A226" s="20"/>
      <c r="B226" s="20"/>
      <c r="C226" s="20"/>
      <c r="D226" s="19" t="s">
        <v>101</v>
      </c>
      <c r="E226" s="19" t="s">
        <v>243</v>
      </c>
      <c r="F226" s="28">
        <v>0</v>
      </c>
    </row>
    <row r="227" spans="1:6" ht="15.75" customHeight="1" x14ac:dyDescent="0.25">
      <c r="A227" s="20"/>
      <c r="B227" s="20"/>
      <c r="C227" s="20"/>
      <c r="D227" s="19" t="s">
        <v>32</v>
      </c>
      <c r="E227" s="19" t="s">
        <v>244</v>
      </c>
      <c r="F227" s="28">
        <v>349522</v>
      </c>
    </row>
    <row r="228" spans="1:6" ht="15.75" customHeight="1" x14ac:dyDescent="0.25">
      <c r="A228" s="20"/>
      <c r="B228" s="20"/>
      <c r="C228" s="35" t="s">
        <v>245</v>
      </c>
      <c r="D228" s="36"/>
      <c r="E228" s="37"/>
      <c r="F228" s="38">
        <v>895504</v>
      </c>
    </row>
    <row r="229" spans="1:6" ht="15.75" customHeight="1" x14ac:dyDescent="0.25">
      <c r="A229" s="20"/>
      <c r="B229" s="19" t="s">
        <v>1125</v>
      </c>
      <c r="C229" s="21"/>
      <c r="D229" s="21"/>
      <c r="E229" s="21"/>
      <c r="F229" s="28">
        <v>895504</v>
      </c>
    </row>
    <row r="230" spans="1:6" ht="15.75" customHeight="1" x14ac:dyDescent="0.25">
      <c r="A230" s="20"/>
      <c r="B230" s="19">
        <v>824</v>
      </c>
      <c r="C230" s="19" t="s">
        <v>339</v>
      </c>
      <c r="D230" s="19" t="s">
        <v>51</v>
      </c>
      <c r="E230" s="19" t="s">
        <v>340</v>
      </c>
      <c r="F230" s="28">
        <v>0</v>
      </c>
    </row>
    <row r="231" spans="1:6" ht="15.75" customHeight="1" x14ac:dyDescent="0.25">
      <c r="A231" s="20"/>
      <c r="B231" s="20"/>
      <c r="C231" s="20"/>
      <c r="D231" s="19" t="s">
        <v>66</v>
      </c>
      <c r="E231" s="19" t="s">
        <v>341</v>
      </c>
      <c r="F231" s="28">
        <v>0</v>
      </c>
    </row>
    <row r="232" spans="1:6" ht="15.75" customHeight="1" x14ac:dyDescent="0.25">
      <c r="A232" s="20"/>
      <c r="B232" s="20"/>
      <c r="C232" s="20"/>
      <c r="D232" s="19" t="s">
        <v>25</v>
      </c>
      <c r="E232" s="19" t="s">
        <v>342</v>
      </c>
      <c r="F232" s="28">
        <v>693554</v>
      </c>
    </row>
    <row r="233" spans="1:6" ht="15.75" customHeight="1" x14ac:dyDescent="0.25">
      <c r="A233" s="20"/>
      <c r="B233" s="20"/>
      <c r="C233" s="20"/>
      <c r="D233" s="19" t="s">
        <v>68</v>
      </c>
      <c r="E233" s="19" t="s">
        <v>343</v>
      </c>
      <c r="F233" s="28">
        <v>1070663</v>
      </c>
    </row>
    <row r="234" spans="1:6" ht="15.75" customHeight="1" x14ac:dyDescent="0.25">
      <c r="A234" s="20"/>
      <c r="B234" s="20"/>
      <c r="C234" s="20"/>
      <c r="D234" s="19" t="s">
        <v>27</v>
      </c>
      <c r="E234" s="19" t="s">
        <v>344</v>
      </c>
      <c r="F234" s="28">
        <v>388122</v>
      </c>
    </row>
    <row r="235" spans="1:6" ht="15.75" customHeight="1" x14ac:dyDescent="0.25">
      <c r="A235" s="20"/>
      <c r="B235" s="20"/>
      <c r="C235" s="20"/>
      <c r="D235" s="19" t="s">
        <v>43</v>
      </c>
      <c r="E235" s="19" t="s">
        <v>345</v>
      </c>
      <c r="F235" s="28">
        <v>0</v>
      </c>
    </row>
    <row r="236" spans="1:6" ht="15.75" customHeight="1" x14ac:dyDescent="0.25">
      <c r="A236" s="20"/>
      <c r="B236" s="20"/>
      <c r="C236" s="20"/>
      <c r="D236" s="19" t="s">
        <v>45</v>
      </c>
      <c r="E236" s="19" t="s">
        <v>346</v>
      </c>
      <c r="F236" s="28">
        <v>614008</v>
      </c>
    </row>
    <row r="237" spans="1:6" ht="15.75" customHeight="1" x14ac:dyDescent="0.25">
      <c r="A237" s="20"/>
      <c r="B237" s="20"/>
      <c r="C237" s="20"/>
      <c r="D237" s="19" t="s">
        <v>30</v>
      </c>
      <c r="E237" s="19" t="s">
        <v>347</v>
      </c>
      <c r="F237" s="28">
        <v>1160212</v>
      </c>
    </row>
    <row r="238" spans="1:6" ht="15.75" customHeight="1" x14ac:dyDescent="0.25">
      <c r="A238" s="20"/>
      <c r="B238" s="20"/>
      <c r="C238" s="20"/>
      <c r="D238" s="19" t="s">
        <v>103</v>
      </c>
      <c r="E238" s="19" t="s">
        <v>348</v>
      </c>
      <c r="F238" s="28">
        <v>697602</v>
      </c>
    </row>
    <row r="239" spans="1:6" ht="15.75" customHeight="1" x14ac:dyDescent="0.25">
      <c r="A239" s="20"/>
      <c r="B239" s="20"/>
      <c r="C239" s="35" t="s">
        <v>349</v>
      </c>
      <c r="D239" s="36"/>
      <c r="E239" s="37"/>
      <c r="F239" s="38">
        <v>4624161</v>
      </c>
    </row>
    <row r="240" spans="1:6" ht="15.75" customHeight="1" x14ac:dyDescent="0.25">
      <c r="A240" s="20"/>
      <c r="B240" s="19" t="s">
        <v>1126</v>
      </c>
      <c r="C240" s="21"/>
      <c r="D240" s="21"/>
      <c r="E240" s="21"/>
      <c r="F240" s="28">
        <v>4624161</v>
      </c>
    </row>
    <row r="241" spans="1:6" ht="15.75" customHeight="1" x14ac:dyDescent="0.25">
      <c r="A241" s="20"/>
      <c r="B241" s="19">
        <v>903</v>
      </c>
      <c r="C241" s="19" t="s">
        <v>286</v>
      </c>
      <c r="D241" s="19" t="s">
        <v>21</v>
      </c>
      <c r="E241" s="19" t="s">
        <v>287</v>
      </c>
      <c r="F241" s="28">
        <v>0</v>
      </c>
    </row>
    <row r="242" spans="1:6" ht="15.75" customHeight="1" x14ac:dyDescent="0.25">
      <c r="A242" s="20"/>
      <c r="B242" s="20"/>
      <c r="C242" s="20"/>
      <c r="D242" s="19" t="s">
        <v>49</v>
      </c>
      <c r="E242" s="19" t="s">
        <v>288</v>
      </c>
      <c r="F242" s="28">
        <v>582051</v>
      </c>
    </row>
    <row r="243" spans="1:6" ht="15.75" customHeight="1" x14ac:dyDescent="0.25">
      <c r="A243" s="20"/>
      <c r="B243" s="20"/>
      <c r="C243" s="20"/>
      <c r="D243" s="20"/>
      <c r="E243" s="22" t="s">
        <v>289</v>
      </c>
      <c r="F243" s="29">
        <v>582051</v>
      </c>
    </row>
    <row r="244" spans="1:6" ht="15.75" customHeight="1" x14ac:dyDescent="0.25">
      <c r="A244" s="20"/>
      <c r="B244" s="20"/>
      <c r="C244" s="20"/>
      <c r="D244" s="19" t="s">
        <v>66</v>
      </c>
      <c r="E244" s="19" t="s">
        <v>290</v>
      </c>
      <c r="F244" s="28">
        <v>627964</v>
      </c>
    </row>
    <row r="245" spans="1:6" ht="15.75" customHeight="1" x14ac:dyDescent="0.25">
      <c r="A245" s="20"/>
      <c r="B245" s="20"/>
      <c r="C245" s="20"/>
      <c r="D245" s="20"/>
      <c r="E245" s="22" t="s">
        <v>291</v>
      </c>
      <c r="F245" s="29">
        <v>627964</v>
      </c>
    </row>
    <row r="246" spans="1:6" ht="15.75" customHeight="1" x14ac:dyDescent="0.25">
      <c r="A246" s="20"/>
      <c r="B246" s="20"/>
      <c r="C246" s="20"/>
      <c r="D246" s="19" t="s">
        <v>79</v>
      </c>
      <c r="E246" s="19" t="s">
        <v>292</v>
      </c>
      <c r="F246" s="28">
        <v>542059</v>
      </c>
    </row>
    <row r="247" spans="1:6" ht="15.75" customHeight="1" x14ac:dyDescent="0.25">
      <c r="A247" s="20"/>
      <c r="B247" s="20"/>
      <c r="C247" s="20"/>
      <c r="D247" s="19" t="s">
        <v>27</v>
      </c>
      <c r="E247" s="19" t="s">
        <v>293</v>
      </c>
      <c r="F247" s="28">
        <v>388122</v>
      </c>
    </row>
    <row r="248" spans="1:6" ht="15.75" customHeight="1" x14ac:dyDescent="0.25">
      <c r="A248" s="20"/>
      <c r="B248" s="20"/>
      <c r="C248" s="20"/>
      <c r="D248" s="20"/>
      <c r="E248" s="22" t="s">
        <v>294</v>
      </c>
      <c r="F248" s="29">
        <v>0</v>
      </c>
    </row>
    <row r="249" spans="1:6" ht="15.75" customHeight="1" x14ac:dyDescent="0.25">
      <c r="A249" s="20"/>
      <c r="B249" s="20"/>
      <c r="C249" s="20"/>
      <c r="D249" s="19" t="s">
        <v>43</v>
      </c>
      <c r="E249" s="19" t="s">
        <v>295</v>
      </c>
      <c r="F249" s="28">
        <v>0</v>
      </c>
    </row>
    <row r="250" spans="1:6" ht="15.75" customHeight="1" x14ac:dyDescent="0.25">
      <c r="A250" s="20"/>
      <c r="B250" s="20"/>
      <c r="C250" s="20"/>
      <c r="D250" s="20"/>
      <c r="E250" s="22" t="s">
        <v>296</v>
      </c>
      <c r="F250" s="29">
        <v>0</v>
      </c>
    </row>
    <row r="251" spans="1:6" ht="15.75" customHeight="1" x14ac:dyDescent="0.25">
      <c r="A251" s="20"/>
      <c r="B251" s="20"/>
      <c r="C251" s="20"/>
      <c r="D251" s="19" t="s">
        <v>32</v>
      </c>
      <c r="E251" s="19" t="s">
        <v>297</v>
      </c>
      <c r="F251" s="28">
        <v>735307</v>
      </c>
    </row>
    <row r="252" spans="1:6" ht="15.75" customHeight="1" x14ac:dyDescent="0.25">
      <c r="A252" s="20"/>
      <c r="B252" s="20"/>
      <c r="C252" s="35" t="s">
        <v>298</v>
      </c>
      <c r="D252" s="36"/>
      <c r="E252" s="37"/>
      <c r="F252" s="38">
        <v>4085518</v>
      </c>
    </row>
    <row r="253" spans="1:6" ht="15.75" customHeight="1" x14ac:dyDescent="0.25">
      <c r="A253" s="20"/>
      <c r="B253" s="19" t="s">
        <v>1127</v>
      </c>
      <c r="C253" s="21"/>
      <c r="D253" s="21"/>
      <c r="E253" s="21"/>
      <c r="F253" s="28">
        <v>4085518</v>
      </c>
    </row>
    <row r="254" spans="1:6" ht="15.75" customHeight="1" x14ac:dyDescent="0.25">
      <c r="A254" s="20"/>
      <c r="B254" s="19">
        <v>950</v>
      </c>
      <c r="C254" s="19" t="s">
        <v>230</v>
      </c>
      <c r="D254" s="19" t="s">
        <v>66</v>
      </c>
      <c r="E254" s="19" t="s">
        <v>231</v>
      </c>
      <c r="F254" s="28">
        <v>622441</v>
      </c>
    </row>
    <row r="255" spans="1:6" ht="15.75" customHeight="1" x14ac:dyDescent="0.25">
      <c r="A255" s="20"/>
      <c r="B255" s="20"/>
      <c r="C255" s="20"/>
      <c r="D255" s="19" t="s">
        <v>79</v>
      </c>
      <c r="E255" s="19" t="s">
        <v>232</v>
      </c>
      <c r="F255" s="28">
        <v>535366</v>
      </c>
    </row>
    <row r="256" spans="1:6" ht="15.75" customHeight="1" x14ac:dyDescent="0.25">
      <c r="A256" s="20"/>
      <c r="B256" s="20"/>
      <c r="C256" s="20"/>
      <c r="D256" s="19" t="s">
        <v>36</v>
      </c>
      <c r="E256" s="19" t="s">
        <v>233</v>
      </c>
      <c r="F256" s="28">
        <v>608572</v>
      </c>
    </row>
    <row r="257" spans="1:6" ht="15.75" customHeight="1" x14ac:dyDescent="0.25">
      <c r="A257" s="20"/>
      <c r="B257" s="20"/>
      <c r="C257" s="20"/>
      <c r="D257" s="20"/>
      <c r="E257" s="22" t="s">
        <v>234</v>
      </c>
      <c r="F257" s="29">
        <v>0</v>
      </c>
    </row>
    <row r="258" spans="1:6" ht="15.75" customHeight="1" x14ac:dyDescent="0.25">
      <c r="A258" s="20"/>
      <c r="B258" s="20"/>
      <c r="C258" s="20"/>
      <c r="D258" s="19" t="s">
        <v>27</v>
      </c>
      <c r="E258" s="19" t="s">
        <v>235</v>
      </c>
      <c r="F258" s="28">
        <v>388122</v>
      </c>
    </row>
    <row r="259" spans="1:6" ht="15.75" customHeight="1" x14ac:dyDescent="0.25">
      <c r="A259" s="20"/>
      <c r="B259" s="20"/>
      <c r="C259" s="20"/>
      <c r="D259" s="20"/>
      <c r="E259" s="22" t="s">
        <v>236</v>
      </c>
      <c r="F259" s="29">
        <v>388122</v>
      </c>
    </row>
    <row r="260" spans="1:6" ht="15.75" customHeight="1" x14ac:dyDescent="0.25">
      <c r="A260" s="20"/>
      <c r="B260" s="20"/>
      <c r="C260" s="20"/>
      <c r="D260" s="19" t="s">
        <v>43</v>
      </c>
      <c r="E260" s="19" t="s">
        <v>237</v>
      </c>
      <c r="F260" s="28">
        <v>439992</v>
      </c>
    </row>
    <row r="261" spans="1:6" ht="15.75" customHeight="1" x14ac:dyDescent="0.25">
      <c r="A261" s="20"/>
      <c r="B261" s="20"/>
      <c r="C261" s="20"/>
      <c r="D261" s="19" t="s">
        <v>30</v>
      </c>
      <c r="E261" s="19" t="s">
        <v>238</v>
      </c>
      <c r="F261" s="28">
        <v>0</v>
      </c>
    </row>
    <row r="262" spans="1:6" ht="15.75" customHeight="1" x14ac:dyDescent="0.25">
      <c r="A262" s="20"/>
      <c r="B262" s="20"/>
      <c r="C262" s="35" t="s">
        <v>239</v>
      </c>
      <c r="D262" s="36"/>
      <c r="E262" s="37"/>
      <c r="F262" s="38">
        <v>2982615</v>
      </c>
    </row>
    <row r="263" spans="1:6" ht="15.75" customHeight="1" x14ac:dyDescent="0.25">
      <c r="A263" s="20"/>
      <c r="B263" s="19" t="s">
        <v>1128</v>
      </c>
      <c r="C263" s="21"/>
      <c r="D263" s="21"/>
      <c r="E263" s="21"/>
      <c r="F263" s="28">
        <v>2982615</v>
      </c>
    </row>
    <row r="264" spans="1:6" ht="15.75" customHeight="1" x14ac:dyDescent="0.25">
      <c r="A264" s="20"/>
      <c r="B264" s="19">
        <v>967</v>
      </c>
      <c r="C264" s="19" t="s">
        <v>324</v>
      </c>
      <c r="D264" s="19" t="s">
        <v>21</v>
      </c>
      <c r="E264" s="19" t="s">
        <v>325</v>
      </c>
      <c r="F264" s="28">
        <v>714402</v>
      </c>
    </row>
    <row r="265" spans="1:6" ht="15.75" customHeight="1" x14ac:dyDescent="0.25">
      <c r="A265" s="20"/>
      <c r="B265" s="20"/>
      <c r="C265" s="20"/>
      <c r="D265" s="19" t="s">
        <v>66</v>
      </c>
      <c r="E265" s="19" t="s">
        <v>326</v>
      </c>
      <c r="F265" s="28">
        <v>649213</v>
      </c>
    </row>
    <row r="266" spans="1:6" ht="15.75" customHeight="1" x14ac:dyDescent="0.25">
      <c r="A266" s="20"/>
      <c r="B266" s="20"/>
      <c r="C266" s="20"/>
      <c r="D266" s="20"/>
      <c r="E266" s="22" t="s">
        <v>327</v>
      </c>
      <c r="F266" s="29">
        <v>640780</v>
      </c>
    </row>
    <row r="267" spans="1:6" ht="15.75" customHeight="1" x14ac:dyDescent="0.25">
      <c r="A267" s="20"/>
      <c r="B267" s="20"/>
      <c r="C267" s="20"/>
      <c r="D267" s="19" t="s">
        <v>97</v>
      </c>
      <c r="E267" s="19" t="s">
        <v>328</v>
      </c>
      <c r="F267" s="28">
        <v>576929</v>
      </c>
    </row>
    <row r="268" spans="1:6" ht="15.75" customHeight="1" x14ac:dyDescent="0.25">
      <c r="A268" s="20"/>
      <c r="B268" s="20"/>
      <c r="C268" s="20"/>
      <c r="D268" s="19" t="s">
        <v>27</v>
      </c>
      <c r="E268" s="19" t="s">
        <v>329</v>
      </c>
      <c r="F268" s="28">
        <v>0</v>
      </c>
    </row>
    <row r="269" spans="1:6" ht="15.75" customHeight="1" x14ac:dyDescent="0.25">
      <c r="A269" s="20"/>
      <c r="B269" s="20"/>
      <c r="C269" s="20"/>
      <c r="D269" s="20"/>
      <c r="E269" s="22" t="s">
        <v>330</v>
      </c>
      <c r="F269" s="29">
        <v>0</v>
      </c>
    </row>
    <row r="270" spans="1:6" ht="15.75" customHeight="1" x14ac:dyDescent="0.25">
      <c r="A270" s="20"/>
      <c r="B270" s="20"/>
      <c r="C270" s="20"/>
      <c r="D270" s="20"/>
      <c r="E270" s="22" t="s">
        <v>331</v>
      </c>
      <c r="F270" s="29">
        <v>0</v>
      </c>
    </row>
    <row r="271" spans="1:6" ht="15.75" customHeight="1" x14ac:dyDescent="0.25">
      <c r="A271" s="20"/>
      <c r="B271" s="20"/>
      <c r="C271" s="20"/>
      <c r="D271" s="20"/>
      <c r="E271" s="22" t="s">
        <v>332</v>
      </c>
      <c r="F271" s="29">
        <v>0</v>
      </c>
    </row>
    <row r="272" spans="1:6" ht="15.75" customHeight="1" x14ac:dyDescent="0.25">
      <c r="A272" s="20"/>
      <c r="B272" s="20"/>
      <c r="C272" s="20"/>
      <c r="D272" s="19" t="s">
        <v>43</v>
      </c>
      <c r="E272" s="19" t="s">
        <v>333</v>
      </c>
      <c r="F272" s="28">
        <v>0</v>
      </c>
    </row>
    <row r="273" spans="1:6" ht="15.75" customHeight="1" x14ac:dyDescent="0.25">
      <c r="A273" s="20"/>
      <c r="B273" s="20"/>
      <c r="C273" s="20"/>
      <c r="D273" s="20"/>
      <c r="E273" s="22" t="s">
        <v>334</v>
      </c>
      <c r="F273" s="29">
        <v>439992</v>
      </c>
    </row>
    <row r="274" spans="1:6" ht="15.75" customHeight="1" x14ac:dyDescent="0.25">
      <c r="A274" s="20"/>
      <c r="B274" s="20"/>
      <c r="C274" s="20"/>
      <c r="D274" s="19" t="s">
        <v>30</v>
      </c>
      <c r="E274" s="19" t="s">
        <v>335</v>
      </c>
      <c r="F274" s="28">
        <v>1137008</v>
      </c>
    </row>
    <row r="275" spans="1:6" ht="15.75" customHeight="1" x14ac:dyDescent="0.25">
      <c r="A275" s="20"/>
      <c r="B275" s="20"/>
      <c r="C275" s="20"/>
      <c r="D275" s="19" t="s">
        <v>101</v>
      </c>
      <c r="E275" s="19" t="s">
        <v>336</v>
      </c>
      <c r="F275" s="28">
        <v>1348265</v>
      </c>
    </row>
    <row r="276" spans="1:6" ht="15.75" customHeight="1" x14ac:dyDescent="0.25">
      <c r="A276" s="20"/>
      <c r="B276" s="20"/>
      <c r="C276" s="20"/>
      <c r="D276" s="19" t="s">
        <v>32</v>
      </c>
      <c r="E276" s="19" t="s">
        <v>337</v>
      </c>
      <c r="F276" s="28">
        <v>720452</v>
      </c>
    </row>
    <row r="277" spans="1:6" ht="15.75" customHeight="1" x14ac:dyDescent="0.25">
      <c r="A277" s="20"/>
      <c r="B277" s="20"/>
      <c r="C277" s="35" t="s">
        <v>338</v>
      </c>
      <c r="D277" s="36"/>
      <c r="E277" s="37"/>
      <c r="F277" s="38">
        <v>6227041</v>
      </c>
    </row>
    <row r="278" spans="1:6" ht="15.75" customHeight="1" x14ac:dyDescent="0.25">
      <c r="A278" s="20"/>
      <c r="B278" s="19" t="s">
        <v>1129</v>
      </c>
      <c r="C278" s="21"/>
      <c r="D278" s="21"/>
      <c r="E278" s="21"/>
      <c r="F278" s="28">
        <v>6227041</v>
      </c>
    </row>
    <row r="279" spans="1:6" ht="15.75" customHeight="1" x14ac:dyDescent="0.25">
      <c r="A279" s="20"/>
      <c r="B279" s="19">
        <v>1016</v>
      </c>
      <c r="C279" s="19" t="s">
        <v>313</v>
      </c>
      <c r="D279" s="19" t="s">
        <v>21</v>
      </c>
      <c r="E279" s="19" t="s">
        <v>314</v>
      </c>
      <c r="F279" s="28">
        <v>710278</v>
      </c>
    </row>
    <row r="280" spans="1:6" ht="15.75" customHeight="1" x14ac:dyDescent="0.25">
      <c r="A280" s="20"/>
      <c r="B280" s="20"/>
      <c r="C280" s="20"/>
      <c r="D280" s="20"/>
      <c r="E280" s="22" t="s">
        <v>315</v>
      </c>
      <c r="F280" s="29">
        <v>714402</v>
      </c>
    </row>
    <row r="281" spans="1:6" ht="15.75" customHeight="1" x14ac:dyDescent="0.25">
      <c r="A281" s="20"/>
      <c r="B281" s="20"/>
      <c r="C281" s="20"/>
      <c r="D281" s="19" t="s">
        <v>51</v>
      </c>
      <c r="E281" s="19" t="s">
        <v>316</v>
      </c>
      <c r="F281" s="28">
        <v>0</v>
      </c>
    </row>
    <row r="282" spans="1:6" ht="15.75" customHeight="1" x14ac:dyDescent="0.25">
      <c r="A282" s="20"/>
      <c r="B282" s="20"/>
      <c r="C282" s="20"/>
      <c r="D282" s="19" t="s">
        <v>97</v>
      </c>
      <c r="E282" s="19" t="s">
        <v>317</v>
      </c>
      <c r="F282" s="28">
        <v>563747</v>
      </c>
    </row>
    <row r="283" spans="1:6" ht="15.75" customHeight="1" x14ac:dyDescent="0.25">
      <c r="A283" s="20"/>
      <c r="B283" s="20"/>
      <c r="C283" s="20"/>
      <c r="D283" s="19" t="s">
        <v>27</v>
      </c>
      <c r="E283" s="19" t="s">
        <v>318</v>
      </c>
      <c r="F283" s="28">
        <v>388122</v>
      </c>
    </row>
    <row r="284" spans="1:6" ht="15.75" customHeight="1" x14ac:dyDescent="0.25">
      <c r="A284" s="20"/>
      <c r="B284" s="20"/>
      <c r="C284" s="20"/>
      <c r="D284" s="20"/>
      <c r="E284" s="22" t="s">
        <v>319</v>
      </c>
      <c r="F284" s="29">
        <v>388122</v>
      </c>
    </row>
    <row r="285" spans="1:6" ht="15.75" customHeight="1" x14ac:dyDescent="0.25">
      <c r="A285" s="20"/>
      <c r="B285" s="20"/>
      <c r="C285" s="20"/>
      <c r="D285" s="19" t="s">
        <v>43</v>
      </c>
      <c r="E285" s="19" t="s">
        <v>320</v>
      </c>
      <c r="F285" s="28">
        <v>439992</v>
      </c>
    </row>
    <row r="286" spans="1:6" ht="15.75" customHeight="1" x14ac:dyDescent="0.25">
      <c r="A286" s="20"/>
      <c r="B286" s="20"/>
      <c r="C286" s="20"/>
      <c r="D286" s="19" t="s">
        <v>45</v>
      </c>
      <c r="E286" s="19" t="s">
        <v>321</v>
      </c>
      <c r="F286" s="28">
        <v>596272</v>
      </c>
    </row>
    <row r="287" spans="1:6" ht="15.75" customHeight="1" x14ac:dyDescent="0.25">
      <c r="A287" s="20"/>
      <c r="B287" s="20"/>
      <c r="C287" s="20"/>
      <c r="D287" s="19" t="s">
        <v>101</v>
      </c>
      <c r="E287" s="19" t="s">
        <v>322</v>
      </c>
      <c r="F287" s="28">
        <v>0</v>
      </c>
    </row>
    <row r="288" spans="1:6" ht="15.75" customHeight="1" x14ac:dyDescent="0.25">
      <c r="A288" s="20"/>
      <c r="B288" s="20"/>
      <c r="C288" s="35" t="s">
        <v>323</v>
      </c>
      <c r="D288" s="36"/>
      <c r="E288" s="37"/>
      <c r="F288" s="38">
        <v>3800935</v>
      </c>
    </row>
    <row r="289" spans="1:6" ht="15.75" customHeight="1" x14ac:dyDescent="0.25">
      <c r="A289" s="20"/>
      <c r="B289" s="19" t="s">
        <v>1130</v>
      </c>
      <c r="C289" s="21"/>
      <c r="D289" s="21"/>
      <c r="E289" s="21"/>
      <c r="F289" s="28">
        <v>3800935</v>
      </c>
    </row>
    <row r="290" spans="1:6" ht="15.75" customHeight="1" x14ac:dyDescent="0.25">
      <c r="A290" s="20"/>
      <c r="B290" s="19">
        <v>1038</v>
      </c>
      <c r="C290" s="19" t="s">
        <v>272</v>
      </c>
      <c r="D290" s="19" t="s">
        <v>21</v>
      </c>
      <c r="E290" s="19" t="s">
        <v>273</v>
      </c>
      <c r="F290" s="28">
        <v>700114</v>
      </c>
    </row>
    <row r="291" spans="1:6" ht="15.75" customHeight="1" x14ac:dyDescent="0.25">
      <c r="A291" s="20"/>
      <c r="B291" s="20"/>
      <c r="C291" s="20"/>
      <c r="D291" s="20"/>
      <c r="E291" s="22" t="s">
        <v>274</v>
      </c>
      <c r="F291" s="29">
        <v>700114</v>
      </c>
    </row>
    <row r="292" spans="1:6" ht="15.75" customHeight="1" x14ac:dyDescent="0.25">
      <c r="A292" s="20"/>
      <c r="B292" s="20"/>
      <c r="C292" s="20"/>
      <c r="D292" s="20"/>
      <c r="E292" s="22" t="s">
        <v>275</v>
      </c>
      <c r="F292" s="29">
        <v>706673</v>
      </c>
    </row>
    <row r="293" spans="1:6" ht="15.75" customHeight="1" x14ac:dyDescent="0.25">
      <c r="A293" s="20"/>
      <c r="B293" s="20"/>
      <c r="C293" s="20"/>
      <c r="D293" s="20"/>
      <c r="E293" s="22" t="s">
        <v>276</v>
      </c>
      <c r="F293" s="29">
        <v>339700</v>
      </c>
    </row>
    <row r="294" spans="1:6" ht="15.75" customHeight="1" x14ac:dyDescent="0.25">
      <c r="A294" s="20"/>
      <c r="B294" s="20"/>
      <c r="C294" s="20"/>
      <c r="D294" s="19" t="s">
        <v>51</v>
      </c>
      <c r="E294" s="19" t="s">
        <v>277</v>
      </c>
      <c r="F294" s="28">
        <v>0</v>
      </c>
    </row>
    <row r="295" spans="1:6" ht="15.75" customHeight="1" x14ac:dyDescent="0.25">
      <c r="A295" s="20"/>
      <c r="B295" s="20"/>
      <c r="C295" s="20"/>
      <c r="D295" s="20"/>
      <c r="E295" s="22" t="s">
        <v>278</v>
      </c>
      <c r="F295" s="29">
        <v>0</v>
      </c>
    </row>
    <row r="296" spans="1:6" ht="15.75" customHeight="1" x14ac:dyDescent="0.25">
      <c r="A296" s="20"/>
      <c r="B296" s="20"/>
      <c r="C296" s="20"/>
      <c r="D296" s="19" t="s">
        <v>79</v>
      </c>
      <c r="E296" s="19" t="s">
        <v>279</v>
      </c>
      <c r="F296" s="28">
        <v>0</v>
      </c>
    </row>
    <row r="297" spans="1:6" ht="15.75" customHeight="1" x14ac:dyDescent="0.25">
      <c r="A297" s="20"/>
      <c r="B297" s="20"/>
      <c r="C297" s="20"/>
      <c r="D297" s="19" t="s">
        <v>27</v>
      </c>
      <c r="E297" s="19" t="s">
        <v>280</v>
      </c>
      <c r="F297" s="28">
        <v>0</v>
      </c>
    </row>
    <row r="298" spans="1:6" ht="15.75" customHeight="1" x14ac:dyDescent="0.25">
      <c r="A298" s="20"/>
      <c r="B298" s="20"/>
      <c r="C298" s="20"/>
      <c r="D298" s="20"/>
      <c r="E298" s="22" t="s">
        <v>281</v>
      </c>
      <c r="F298" s="29">
        <v>388122</v>
      </c>
    </row>
    <row r="299" spans="1:6" ht="15.75" customHeight="1" x14ac:dyDescent="0.25">
      <c r="A299" s="20"/>
      <c r="B299" s="20"/>
      <c r="C299" s="20"/>
      <c r="D299" s="20"/>
      <c r="E299" s="22" t="s">
        <v>282</v>
      </c>
      <c r="F299" s="29">
        <v>0</v>
      </c>
    </row>
    <row r="300" spans="1:6" ht="15.75" customHeight="1" x14ac:dyDescent="0.25">
      <c r="A300" s="20"/>
      <c r="B300" s="20"/>
      <c r="C300" s="20"/>
      <c r="D300" s="19" t="s">
        <v>45</v>
      </c>
      <c r="E300" s="19" t="s">
        <v>283</v>
      </c>
      <c r="F300" s="28">
        <v>596272</v>
      </c>
    </row>
    <row r="301" spans="1:6" ht="15.75" customHeight="1" x14ac:dyDescent="0.25">
      <c r="A301" s="20"/>
      <c r="B301" s="20"/>
      <c r="C301" s="20"/>
      <c r="D301" s="20"/>
      <c r="E301" s="22" t="s">
        <v>284</v>
      </c>
      <c r="F301" s="29">
        <v>607071</v>
      </c>
    </row>
    <row r="302" spans="1:6" ht="15.75" customHeight="1" x14ac:dyDescent="0.25">
      <c r="A302" s="20"/>
      <c r="B302" s="20"/>
      <c r="C302" s="35" t="s">
        <v>285</v>
      </c>
      <c r="D302" s="36"/>
      <c r="E302" s="37"/>
      <c r="F302" s="38">
        <v>4038066</v>
      </c>
    </row>
    <row r="303" spans="1:6" ht="15.75" customHeight="1" x14ac:dyDescent="0.25">
      <c r="A303" s="20"/>
      <c r="B303" s="19" t="s">
        <v>1131</v>
      </c>
      <c r="C303" s="21"/>
      <c r="D303" s="21"/>
      <c r="E303" s="21"/>
      <c r="F303" s="28">
        <v>4038066</v>
      </c>
    </row>
    <row r="304" spans="1:6" ht="15.75" customHeight="1" x14ac:dyDescent="0.25">
      <c r="A304" s="20"/>
      <c r="B304" s="19">
        <v>1044</v>
      </c>
      <c r="C304" s="19" t="s">
        <v>264</v>
      </c>
      <c r="D304" s="19" t="s">
        <v>68</v>
      </c>
      <c r="E304" s="19" t="s">
        <v>265</v>
      </c>
      <c r="F304" s="28">
        <v>636228.32000000007</v>
      </c>
    </row>
    <row r="305" spans="1:6" ht="15.75" customHeight="1" x14ac:dyDescent="0.25">
      <c r="A305" s="20"/>
      <c r="B305" s="20"/>
      <c r="C305" s="20"/>
      <c r="D305" s="19" t="s">
        <v>43</v>
      </c>
      <c r="E305" s="19" t="s">
        <v>266</v>
      </c>
      <c r="F305" s="28">
        <v>0</v>
      </c>
    </row>
    <row r="306" spans="1:6" ht="15.75" customHeight="1" x14ac:dyDescent="0.25">
      <c r="A306" s="20"/>
      <c r="B306" s="20"/>
      <c r="C306" s="20"/>
      <c r="D306" s="19" t="s">
        <v>30</v>
      </c>
      <c r="E306" s="19" t="s">
        <v>267</v>
      </c>
      <c r="F306" s="28">
        <v>0</v>
      </c>
    </row>
    <row r="307" spans="1:6" ht="15.75" customHeight="1" x14ac:dyDescent="0.25">
      <c r="A307" s="20"/>
      <c r="B307" s="20"/>
      <c r="C307" s="20"/>
      <c r="D307" s="19" t="s">
        <v>101</v>
      </c>
      <c r="E307" s="19" t="s">
        <v>268</v>
      </c>
      <c r="F307" s="28">
        <v>772484.07000000007</v>
      </c>
    </row>
    <row r="308" spans="1:6" ht="15.75" customHeight="1" x14ac:dyDescent="0.25">
      <c r="A308" s="20"/>
      <c r="B308" s="20"/>
      <c r="C308" s="20"/>
      <c r="D308" s="19" t="s">
        <v>269</v>
      </c>
      <c r="E308" s="19" t="s">
        <v>270</v>
      </c>
      <c r="F308" s="28">
        <v>384911.505</v>
      </c>
    </row>
    <row r="309" spans="1:6" ht="15.75" customHeight="1" x14ac:dyDescent="0.25">
      <c r="A309" s="20"/>
      <c r="B309" s="20"/>
      <c r="C309" s="35" t="s">
        <v>271</v>
      </c>
      <c r="D309" s="36"/>
      <c r="E309" s="37"/>
      <c r="F309" s="38">
        <v>1793623.895</v>
      </c>
    </row>
    <row r="310" spans="1:6" ht="15.75" customHeight="1" x14ac:dyDescent="0.25">
      <c r="A310" s="20"/>
      <c r="B310" s="19" t="s">
        <v>1132</v>
      </c>
      <c r="C310" s="21"/>
      <c r="D310" s="21"/>
      <c r="E310" s="21"/>
      <c r="F310" s="28">
        <v>1793623.895</v>
      </c>
    </row>
    <row r="311" spans="1:6" ht="15.75" customHeight="1" x14ac:dyDescent="0.25">
      <c r="A311" s="20"/>
      <c r="B311" s="19">
        <v>1097</v>
      </c>
      <c r="C311" s="19" t="s">
        <v>299</v>
      </c>
      <c r="D311" s="19" t="s">
        <v>101</v>
      </c>
      <c r="E311" s="19" t="s">
        <v>300</v>
      </c>
      <c r="F311" s="28">
        <v>389380.53</v>
      </c>
    </row>
    <row r="312" spans="1:6" ht="15.75" customHeight="1" x14ac:dyDescent="0.25">
      <c r="A312" s="20"/>
      <c r="B312" s="20"/>
      <c r="C312" s="35" t="s">
        <v>301</v>
      </c>
      <c r="D312" s="36"/>
      <c r="E312" s="37"/>
      <c r="F312" s="38">
        <v>389380.53</v>
      </c>
    </row>
    <row r="313" spans="1:6" ht="15.75" customHeight="1" x14ac:dyDescent="0.25">
      <c r="A313" s="20"/>
      <c r="B313" s="19" t="s">
        <v>1133</v>
      </c>
      <c r="C313" s="21"/>
      <c r="D313" s="21"/>
      <c r="E313" s="21"/>
      <c r="F313" s="28">
        <v>389380.53</v>
      </c>
    </row>
    <row r="314" spans="1:6" ht="15.75" customHeight="1" x14ac:dyDescent="0.25">
      <c r="A314" s="19" t="s">
        <v>350</v>
      </c>
      <c r="B314" s="21"/>
      <c r="C314" s="21"/>
      <c r="D314" s="21"/>
      <c r="E314" s="21"/>
      <c r="F314" s="28">
        <v>40072035.425000004</v>
      </c>
    </row>
    <row r="315" spans="1:6" ht="15.75" customHeight="1" x14ac:dyDescent="0.25">
      <c r="A315" s="19" t="s">
        <v>9</v>
      </c>
      <c r="B315" s="19">
        <v>867</v>
      </c>
      <c r="C315" s="19" t="s">
        <v>203</v>
      </c>
      <c r="D315" s="19" t="s">
        <v>351</v>
      </c>
      <c r="E315" s="19" t="s">
        <v>352</v>
      </c>
      <c r="F315" s="28">
        <v>821357.14200000011</v>
      </c>
    </row>
    <row r="316" spans="1:6" ht="15.75" customHeight="1" x14ac:dyDescent="0.25">
      <c r="A316" s="20"/>
      <c r="B316" s="20"/>
      <c r="C316" s="35" t="s">
        <v>212</v>
      </c>
      <c r="D316" s="36"/>
      <c r="E316" s="37"/>
      <c r="F316" s="38">
        <v>821357.14200000011</v>
      </c>
    </row>
    <row r="317" spans="1:6" ht="15.75" customHeight="1" x14ac:dyDescent="0.25">
      <c r="A317" s="20"/>
      <c r="B317" s="19" t="s">
        <v>1118</v>
      </c>
      <c r="C317" s="21"/>
      <c r="D317" s="21"/>
      <c r="E317" s="21"/>
      <c r="F317" s="28">
        <v>821357.14200000011</v>
      </c>
    </row>
    <row r="318" spans="1:6" ht="15.75" customHeight="1" x14ac:dyDescent="0.25">
      <c r="A318" s="19" t="s">
        <v>353</v>
      </c>
      <c r="B318" s="21"/>
      <c r="C318" s="21"/>
      <c r="D318" s="21"/>
      <c r="E318" s="21"/>
      <c r="F318" s="28">
        <v>821357.14200000011</v>
      </c>
    </row>
    <row r="319" spans="1:6" ht="15.75" customHeight="1" x14ac:dyDescent="0.25">
      <c r="A319" s="19" t="s">
        <v>10</v>
      </c>
      <c r="B319" s="19">
        <v>911</v>
      </c>
      <c r="C319" s="19" t="s">
        <v>358</v>
      </c>
      <c r="D319" s="19" t="s">
        <v>359</v>
      </c>
      <c r="E319" s="19" t="s">
        <v>360</v>
      </c>
      <c r="F319" s="28">
        <v>1551181</v>
      </c>
    </row>
    <row r="320" spans="1:6" ht="15.75" customHeight="1" x14ac:dyDescent="0.25">
      <c r="A320" s="20"/>
      <c r="B320" s="20"/>
      <c r="C320" s="20"/>
      <c r="D320" s="19" t="s">
        <v>87</v>
      </c>
      <c r="E320" s="19" t="s">
        <v>361</v>
      </c>
      <c r="F320" s="28">
        <v>983465</v>
      </c>
    </row>
    <row r="321" spans="1:6" ht="15.75" customHeight="1" x14ac:dyDescent="0.25">
      <c r="A321" s="20"/>
      <c r="B321" s="20"/>
      <c r="C321" s="20"/>
      <c r="D321" s="19" t="s">
        <v>89</v>
      </c>
      <c r="E321" s="19" t="s">
        <v>362</v>
      </c>
      <c r="F321" s="28">
        <v>0</v>
      </c>
    </row>
    <row r="322" spans="1:6" ht="15.75" customHeight="1" x14ac:dyDescent="0.25">
      <c r="A322" s="20"/>
      <c r="B322" s="20"/>
      <c r="C322" s="20"/>
      <c r="D322" s="20"/>
      <c r="E322" s="22" t="s">
        <v>363</v>
      </c>
      <c r="F322" s="29">
        <v>0</v>
      </c>
    </row>
    <row r="323" spans="1:6" ht="15.75" customHeight="1" x14ac:dyDescent="0.25">
      <c r="A323" s="20"/>
      <c r="B323" s="20"/>
      <c r="C323" s="20"/>
      <c r="D323" s="20"/>
      <c r="E323" s="22" t="s">
        <v>364</v>
      </c>
      <c r="F323" s="29">
        <v>0</v>
      </c>
    </row>
    <row r="324" spans="1:6" ht="15.75" customHeight="1" x14ac:dyDescent="0.25">
      <c r="A324" s="20"/>
      <c r="B324" s="20"/>
      <c r="C324" s="35" t="s">
        <v>365</v>
      </c>
      <c r="D324" s="36"/>
      <c r="E324" s="37"/>
      <c r="F324" s="38">
        <v>2534646</v>
      </c>
    </row>
    <row r="325" spans="1:6" ht="15.75" customHeight="1" x14ac:dyDescent="0.25">
      <c r="A325" s="20"/>
      <c r="B325" s="19" t="s">
        <v>1134</v>
      </c>
      <c r="C325" s="21"/>
      <c r="D325" s="21"/>
      <c r="E325" s="21"/>
      <c r="F325" s="28">
        <v>2534646</v>
      </c>
    </row>
    <row r="326" spans="1:6" ht="15.75" customHeight="1" x14ac:dyDescent="0.25">
      <c r="A326" s="20"/>
      <c r="B326" s="19">
        <v>947</v>
      </c>
      <c r="C326" s="19" t="s">
        <v>354</v>
      </c>
      <c r="D326" s="19" t="s">
        <v>89</v>
      </c>
      <c r="E326" s="19" t="s">
        <v>355</v>
      </c>
      <c r="F326" s="28">
        <v>896063</v>
      </c>
    </row>
    <row r="327" spans="1:6" ht="15.75" customHeight="1" x14ac:dyDescent="0.25">
      <c r="A327" s="20"/>
      <c r="B327" s="20"/>
      <c r="C327" s="20"/>
      <c r="D327" s="20"/>
      <c r="E327" s="22" t="s">
        <v>356</v>
      </c>
      <c r="F327" s="29">
        <v>0</v>
      </c>
    </row>
    <row r="328" spans="1:6" ht="15.75" customHeight="1" x14ac:dyDescent="0.25">
      <c r="A328" s="20"/>
      <c r="B328" s="20"/>
      <c r="C328" s="35" t="s">
        <v>357</v>
      </c>
      <c r="D328" s="36"/>
      <c r="E328" s="37"/>
      <c r="F328" s="38">
        <v>896063</v>
      </c>
    </row>
    <row r="329" spans="1:6" ht="15.75" customHeight="1" x14ac:dyDescent="0.25">
      <c r="A329" s="20"/>
      <c r="B329" s="19" t="s">
        <v>1135</v>
      </c>
      <c r="C329" s="21"/>
      <c r="D329" s="21"/>
      <c r="E329" s="21"/>
      <c r="F329" s="28">
        <v>896063</v>
      </c>
    </row>
    <row r="330" spans="1:6" ht="15.75" customHeight="1" x14ac:dyDescent="0.25">
      <c r="A330" s="19" t="s">
        <v>366</v>
      </c>
      <c r="B330" s="21"/>
      <c r="C330" s="21"/>
      <c r="D330" s="21"/>
      <c r="E330" s="21"/>
      <c r="F330" s="28">
        <v>3430709</v>
      </c>
    </row>
    <row r="331" spans="1:6" ht="15.75" customHeight="1" x14ac:dyDescent="0.25">
      <c r="A331" s="19" t="s">
        <v>11</v>
      </c>
      <c r="B331" s="19">
        <v>866</v>
      </c>
      <c r="C331" s="19" t="s">
        <v>367</v>
      </c>
      <c r="D331" s="19" t="s">
        <v>49</v>
      </c>
      <c r="E331" s="19" t="s">
        <v>368</v>
      </c>
      <c r="F331" s="28">
        <v>600622</v>
      </c>
    </row>
    <row r="332" spans="1:6" ht="15.75" customHeight="1" x14ac:dyDescent="0.25">
      <c r="A332" s="20"/>
      <c r="B332" s="20"/>
      <c r="C332" s="20"/>
      <c r="D332" s="19" t="s">
        <v>25</v>
      </c>
      <c r="E332" s="19" t="s">
        <v>369</v>
      </c>
      <c r="F332" s="28">
        <v>707709</v>
      </c>
    </row>
    <row r="333" spans="1:6" ht="15.75" customHeight="1" x14ac:dyDescent="0.25">
      <c r="A333" s="20"/>
      <c r="B333" s="20"/>
      <c r="C333" s="20"/>
      <c r="D333" s="19" t="s">
        <v>370</v>
      </c>
      <c r="E333" s="19" t="s">
        <v>371</v>
      </c>
      <c r="F333" s="28">
        <v>1054903</v>
      </c>
    </row>
    <row r="334" spans="1:6" ht="15.75" customHeight="1" x14ac:dyDescent="0.25">
      <c r="A334" s="20"/>
      <c r="B334" s="20"/>
      <c r="C334" s="20"/>
      <c r="D334" s="19" t="s">
        <v>27</v>
      </c>
      <c r="E334" s="19" t="s">
        <v>372</v>
      </c>
      <c r="F334" s="28">
        <v>388122</v>
      </c>
    </row>
    <row r="335" spans="1:6" ht="15.75" customHeight="1" x14ac:dyDescent="0.25">
      <c r="A335" s="20"/>
      <c r="B335" s="20"/>
      <c r="C335" s="20"/>
      <c r="D335" s="20"/>
      <c r="E335" s="22" t="s">
        <v>373</v>
      </c>
      <c r="F335" s="29">
        <v>0</v>
      </c>
    </row>
    <row r="336" spans="1:6" ht="15.75" customHeight="1" x14ac:dyDescent="0.25">
      <c r="A336" s="20"/>
      <c r="B336" s="20"/>
      <c r="C336" s="20"/>
      <c r="D336" s="20"/>
      <c r="E336" s="22" t="s">
        <v>374</v>
      </c>
      <c r="F336" s="29">
        <v>388122</v>
      </c>
    </row>
    <row r="337" spans="1:6" ht="15.75" customHeight="1" x14ac:dyDescent="0.25">
      <c r="A337" s="20"/>
      <c r="B337" s="20"/>
      <c r="C337" s="20"/>
      <c r="D337" s="19" t="s">
        <v>103</v>
      </c>
      <c r="E337" s="19" t="s">
        <v>375</v>
      </c>
      <c r="F337" s="28">
        <v>690626</v>
      </c>
    </row>
    <row r="338" spans="1:6" ht="15.75" customHeight="1" x14ac:dyDescent="0.25">
      <c r="A338" s="20"/>
      <c r="B338" s="20"/>
      <c r="C338" s="35" t="s">
        <v>376</v>
      </c>
      <c r="D338" s="36"/>
      <c r="E338" s="37"/>
      <c r="F338" s="38">
        <v>3830104</v>
      </c>
    </row>
    <row r="339" spans="1:6" ht="15.75" customHeight="1" x14ac:dyDescent="0.25">
      <c r="A339" s="20"/>
      <c r="B339" s="19" t="s">
        <v>1136</v>
      </c>
      <c r="C339" s="21"/>
      <c r="D339" s="21"/>
      <c r="E339" s="21"/>
      <c r="F339" s="28">
        <v>3830104</v>
      </c>
    </row>
    <row r="340" spans="1:6" ht="15.75" customHeight="1" x14ac:dyDescent="0.25">
      <c r="A340" s="19" t="s">
        <v>377</v>
      </c>
      <c r="B340" s="21"/>
      <c r="C340" s="21"/>
      <c r="D340" s="21"/>
      <c r="E340" s="21"/>
      <c r="F340" s="28">
        <v>3830104</v>
      </c>
    </row>
    <row r="341" spans="1:6" ht="15.75" customHeight="1" x14ac:dyDescent="0.25">
      <c r="A341" s="23" t="s">
        <v>1096</v>
      </c>
      <c r="B341" s="24"/>
      <c r="C341" s="24"/>
      <c r="D341" s="24"/>
      <c r="E341" s="24"/>
      <c r="F341" s="30">
        <v>102092291.40349999</v>
      </c>
    </row>
    <row r="342" spans="1:6" ht="15.75" customHeight="1" x14ac:dyDescent="0.25"/>
    <row r="343" spans="1:6" ht="15.75" customHeight="1" x14ac:dyDescent="0.25"/>
    <row r="344" spans="1:6" ht="15.75" customHeight="1" x14ac:dyDescent="0.25"/>
    <row r="345" spans="1:6" ht="15.75" customHeight="1" x14ac:dyDescent="0.25"/>
    <row r="346" spans="1:6" ht="15.75" customHeight="1" x14ac:dyDescent="0.25"/>
    <row r="347" spans="1:6" ht="15.75" customHeight="1" x14ac:dyDescent="0.25"/>
    <row r="348" spans="1:6" ht="15.75" customHeight="1" x14ac:dyDescent="0.25"/>
    <row r="349" spans="1:6" ht="15.75" customHeight="1" x14ac:dyDescent="0.25"/>
    <row r="350" spans="1:6" ht="15.75" customHeight="1" x14ac:dyDescent="0.25"/>
    <row r="351" spans="1:6" ht="15.75" customHeight="1" x14ac:dyDescent="0.25"/>
    <row r="352" spans="1:6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1:C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topLeftCell="P1" workbookViewId="0">
      <selection activeCell="X14" sqref="X14"/>
    </sheetView>
  </sheetViews>
  <sheetFormatPr baseColWidth="10" defaultColWidth="14.42578125" defaultRowHeight="15" customHeight="1" x14ac:dyDescent="0.25"/>
  <cols>
    <col min="1" max="1" width="20.42578125" customWidth="1"/>
    <col min="2" max="2" width="5.85546875" customWidth="1"/>
    <col min="3" max="3" width="8.140625" customWidth="1"/>
    <col min="4" max="4" width="19" customWidth="1"/>
    <col min="5" max="5" width="41.140625" customWidth="1"/>
    <col min="6" max="6" width="19" customWidth="1"/>
    <col min="7" max="7" width="28.140625" customWidth="1"/>
    <col min="8" max="8" width="15" customWidth="1"/>
    <col min="9" max="9" width="12.85546875" customWidth="1"/>
    <col min="10" max="11" width="19" customWidth="1"/>
    <col min="12" max="12" width="21.85546875" customWidth="1"/>
    <col min="13" max="13" width="62.42578125" customWidth="1"/>
    <col min="14" max="14" width="17.7109375" customWidth="1"/>
    <col min="15" max="15" width="33" customWidth="1"/>
    <col min="16" max="16" width="23.42578125" customWidth="1"/>
    <col min="17" max="17" width="23.85546875" customWidth="1"/>
    <col min="18" max="18" width="16.42578125" customWidth="1"/>
    <col min="19" max="19" width="14" customWidth="1"/>
    <col min="20" max="21" width="16.42578125" customWidth="1"/>
    <col min="22" max="22" width="9.42578125" customWidth="1"/>
    <col min="23" max="23" width="21.85546875" customWidth="1"/>
    <col min="24" max="24" width="20.42578125" customWidth="1"/>
    <col min="25" max="25" width="17.85546875" customWidth="1"/>
    <col min="26" max="26" width="20.42578125" customWidth="1"/>
    <col min="27" max="27" width="14.85546875" customWidth="1"/>
    <col min="28" max="28" width="26.42578125" customWidth="1"/>
  </cols>
  <sheetData>
    <row r="1" spans="1:29" ht="15.75" x14ac:dyDescent="0.25">
      <c r="A1" s="25" t="s">
        <v>378</v>
      </c>
      <c r="B1" s="25" t="s">
        <v>379</v>
      </c>
      <c r="C1" s="25" t="s">
        <v>380</v>
      </c>
      <c r="D1" s="25" t="s">
        <v>0</v>
      </c>
      <c r="E1" s="25" t="s">
        <v>16</v>
      </c>
      <c r="F1" s="25" t="s">
        <v>381</v>
      </c>
      <c r="G1" s="25" t="s">
        <v>382</v>
      </c>
      <c r="H1" s="25" t="s">
        <v>383</v>
      </c>
      <c r="I1" s="25" t="s">
        <v>384</v>
      </c>
      <c r="J1" s="25" t="s">
        <v>385</v>
      </c>
      <c r="K1" s="25" t="s">
        <v>386</v>
      </c>
      <c r="L1" s="25" t="s">
        <v>387</v>
      </c>
      <c r="M1" s="25" t="s">
        <v>18</v>
      </c>
      <c r="N1" s="25" t="s">
        <v>388</v>
      </c>
      <c r="O1" s="25" t="s">
        <v>389</v>
      </c>
      <c r="P1" s="25" t="s">
        <v>17</v>
      </c>
      <c r="Q1" s="25" t="s">
        <v>390</v>
      </c>
      <c r="R1" s="25" t="s">
        <v>391</v>
      </c>
      <c r="S1" s="25" t="s">
        <v>392</v>
      </c>
      <c r="T1" s="25" t="s">
        <v>393</v>
      </c>
      <c r="U1" s="25" t="s">
        <v>394</v>
      </c>
      <c r="V1" s="25" t="s">
        <v>395</v>
      </c>
      <c r="W1" s="25" t="s">
        <v>396</v>
      </c>
      <c r="X1" s="25" t="s">
        <v>397</v>
      </c>
      <c r="Y1" s="25" t="s">
        <v>398</v>
      </c>
      <c r="Z1" s="25" t="s">
        <v>399</v>
      </c>
      <c r="AA1" s="25" t="s">
        <v>400</v>
      </c>
      <c r="AB1" s="32" t="s">
        <v>1097</v>
      </c>
      <c r="AC1" s="25"/>
    </row>
    <row r="2" spans="1:29" x14ac:dyDescent="0.25">
      <c r="A2" s="8" t="s">
        <v>401</v>
      </c>
      <c r="B2" s="8" t="s">
        <v>402</v>
      </c>
      <c r="C2" s="9" t="s">
        <v>403</v>
      </c>
      <c r="D2" s="8" t="s">
        <v>2</v>
      </c>
      <c r="E2" s="8" t="s">
        <v>20</v>
      </c>
      <c r="F2" s="8">
        <v>883</v>
      </c>
      <c r="G2" s="8" t="s">
        <v>404</v>
      </c>
      <c r="H2" s="8">
        <v>27060442</v>
      </c>
      <c r="I2" s="8" t="s">
        <v>405</v>
      </c>
      <c r="J2" s="8" t="s">
        <v>406</v>
      </c>
      <c r="K2" s="8" t="s">
        <v>407</v>
      </c>
      <c r="L2" s="8" t="s">
        <v>408</v>
      </c>
      <c r="M2" s="8" t="s">
        <v>23</v>
      </c>
      <c r="N2" s="8">
        <v>8</v>
      </c>
      <c r="O2" s="8" t="s">
        <v>409</v>
      </c>
      <c r="P2" s="8" t="s">
        <v>21</v>
      </c>
      <c r="Q2" s="10" t="s">
        <v>410</v>
      </c>
      <c r="R2" s="11">
        <v>84047244</v>
      </c>
      <c r="S2" s="11">
        <v>1761000</v>
      </c>
      <c r="T2" s="11">
        <v>77595538</v>
      </c>
      <c r="U2" s="11">
        <v>106740000</v>
      </c>
      <c r="V2" s="12" t="s">
        <v>411</v>
      </c>
      <c r="W2" s="11">
        <v>0</v>
      </c>
      <c r="X2" s="11">
        <v>714402</v>
      </c>
      <c r="Y2" s="11">
        <f>X2</f>
        <v>714402</v>
      </c>
      <c r="Z2" s="1">
        <f>+X2/R2</f>
        <v>8.5000050685778584E-3</v>
      </c>
      <c r="AA2" s="13"/>
      <c r="AB2" s="10" t="s">
        <v>412</v>
      </c>
    </row>
    <row r="3" spans="1:29" x14ac:dyDescent="0.25">
      <c r="A3" s="8" t="s">
        <v>401</v>
      </c>
      <c r="B3" s="8" t="s">
        <v>402</v>
      </c>
      <c r="C3" s="9" t="s">
        <v>403</v>
      </c>
      <c r="D3" s="8" t="s">
        <v>2</v>
      </c>
      <c r="E3" s="8" t="s">
        <v>20</v>
      </c>
      <c r="F3" s="8">
        <v>883</v>
      </c>
      <c r="G3" s="8" t="s">
        <v>404</v>
      </c>
      <c r="H3" s="8">
        <v>27061576</v>
      </c>
      <c r="I3" s="8" t="s">
        <v>413</v>
      </c>
      <c r="J3" s="8" t="s">
        <v>414</v>
      </c>
      <c r="K3" s="8" t="s">
        <v>407</v>
      </c>
      <c r="L3" s="8" t="s">
        <v>415</v>
      </c>
      <c r="M3" s="8" t="s">
        <v>24</v>
      </c>
      <c r="N3" s="8">
        <v>8</v>
      </c>
      <c r="O3" s="8" t="s">
        <v>409</v>
      </c>
      <c r="P3" s="8" t="s">
        <v>21</v>
      </c>
      <c r="Q3" s="10" t="s">
        <v>416</v>
      </c>
      <c r="R3" s="11">
        <v>84047244</v>
      </c>
      <c r="S3" s="11">
        <v>1784000</v>
      </c>
      <c r="T3" s="11">
        <v>76151969</v>
      </c>
      <c r="U3" s="11">
        <v>106740000</v>
      </c>
      <c r="V3" s="12" t="s">
        <v>417</v>
      </c>
      <c r="W3" s="11">
        <v>0</v>
      </c>
      <c r="X3" s="11">
        <v>714402</v>
      </c>
      <c r="Y3" s="11">
        <f>+X3</f>
        <v>714402</v>
      </c>
      <c r="Z3" s="1">
        <f>+X3/R3</f>
        <v>8.5000050685778584E-3</v>
      </c>
      <c r="AA3" s="13"/>
      <c r="AB3" s="10" t="s">
        <v>412</v>
      </c>
    </row>
    <row r="4" spans="1:29" x14ac:dyDescent="0.25">
      <c r="A4" s="8" t="s">
        <v>401</v>
      </c>
      <c r="B4" s="8" t="s">
        <v>402</v>
      </c>
      <c r="C4" s="9" t="s">
        <v>403</v>
      </c>
      <c r="D4" s="8" t="s">
        <v>2</v>
      </c>
      <c r="E4" s="8" t="s">
        <v>20</v>
      </c>
      <c r="F4" s="8">
        <v>883</v>
      </c>
      <c r="G4" s="8" t="s">
        <v>404</v>
      </c>
      <c r="H4" s="8">
        <v>27078479</v>
      </c>
      <c r="I4" s="8" t="s">
        <v>418</v>
      </c>
      <c r="J4" s="8" t="s">
        <v>414</v>
      </c>
      <c r="K4" s="8" t="s">
        <v>407</v>
      </c>
      <c r="L4" s="8" t="s">
        <v>408</v>
      </c>
      <c r="M4" s="8" t="s">
        <v>22</v>
      </c>
      <c r="N4" s="8">
        <v>8</v>
      </c>
      <c r="O4" s="8" t="s">
        <v>409</v>
      </c>
      <c r="P4" s="8" t="s">
        <v>21</v>
      </c>
      <c r="Q4" s="10" t="s">
        <v>419</v>
      </c>
      <c r="R4" s="11">
        <v>84047244</v>
      </c>
      <c r="S4" s="11">
        <v>1784000</v>
      </c>
      <c r="T4" s="11">
        <v>76151969</v>
      </c>
      <c r="U4" s="11">
        <v>106740000</v>
      </c>
      <c r="V4" s="12" t="s">
        <v>417</v>
      </c>
      <c r="W4" s="11">
        <v>97567000</v>
      </c>
      <c r="X4" s="11">
        <v>714402</v>
      </c>
      <c r="Y4" s="11">
        <v>0</v>
      </c>
      <c r="Z4" s="1">
        <f>+X4/R4</f>
        <v>8.5000050685778584E-3</v>
      </c>
      <c r="AA4" s="13"/>
      <c r="AB4" s="10" t="s">
        <v>412</v>
      </c>
    </row>
    <row r="5" spans="1:29" x14ac:dyDescent="0.25">
      <c r="A5" s="8" t="s">
        <v>401</v>
      </c>
      <c r="B5" s="8" t="s">
        <v>402</v>
      </c>
      <c r="C5" s="9" t="s">
        <v>403</v>
      </c>
      <c r="D5" s="8" t="s">
        <v>2</v>
      </c>
      <c r="E5" s="8" t="s">
        <v>20</v>
      </c>
      <c r="F5" s="8">
        <v>883</v>
      </c>
      <c r="G5" s="8" t="s">
        <v>420</v>
      </c>
      <c r="H5" s="8">
        <v>27074731</v>
      </c>
      <c r="I5" s="8" t="s">
        <v>421</v>
      </c>
      <c r="J5" s="8" t="s">
        <v>422</v>
      </c>
      <c r="K5" s="8" t="s">
        <v>423</v>
      </c>
      <c r="L5" s="8" t="s">
        <v>414</v>
      </c>
      <c r="M5" s="8" t="s">
        <v>26</v>
      </c>
      <c r="N5" s="8">
        <v>8</v>
      </c>
      <c r="O5" s="8" t="s">
        <v>424</v>
      </c>
      <c r="P5" s="8" t="s">
        <v>25</v>
      </c>
      <c r="Q5" s="10" t="s">
        <v>425</v>
      </c>
      <c r="R5" s="11">
        <v>81594646</v>
      </c>
      <c r="S5" s="11">
        <v>1571000</v>
      </c>
      <c r="T5" s="11">
        <v>76873753</v>
      </c>
      <c r="U5" s="11">
        <v>103625200</v>
      </c>
      <c r="V5" s="12" t="s">
        <v>426</v>
      </c>
      <c r="W5" s="11">
        <v>0</v>
      </c>
      <c r="X5" s="11">
        <v>693554</v>
      </c>
      <c r="Y5" s="11">
        <f t="shared" ref="Y5:Y6" si="0">+X5</f>
        <v>693554</v>
      </c>
      <c r="Z5" s="1">
        <f>+X5/R5</f>
        <v>8.4999939824483093E-3</v>
      </c>
      <c r="AA5" s="13"/>
      <c r="AB5" s="10" t="s">
        <v>412</v>
      </c>
    </row>
    <row r="6" spans="1:29" x14ac:dyDescent="0.25">
      <c r="A6" s="8" t="s">
        <v>401</v>
      </c>
      <c r="B6" s="8" t="s">
        <v>402</v>
      </c>
      <c r="C6" s="9" t="s">
        <v>403</v>
      </c>
      <c r="D6" s="8" t="s">
        <v>2</v>
      </c>
      <c r="E6" s="8" t="s">
        <v>20</v>
      </c>
      <c r="F6" s="8">
        <v>883</v>
      </c>
      <c r="G6" s="8" t="s">
        <v>404</v>
      </c>
      <c r="H6" s="8">
        <v>27077080</v>
      </c>
      <c r="I6" s="8" t="s">
        <v>427</v>
      </c>
      <c r="J6" s="8" t="s">
        <v>428</v>
      </c>
      <c r="K6" s="8" t="s">
        <v>407</v>
      </c>
      <c r="L6" s="8" t="s">
        <v>428</v>
      </c>
      <c r="M6" s="8" t="s">
        <v>28</v>
      </c>
      <c r="N6" s="8">
        <v>8</v>
      </c>
      <c r="O6" s="8" t="s">
        <v>429</v>
      </c>
      <c r="P6" s="8" t="s">
        <v>27</v>
      </c>
      <c r="Q6" s="10" t="s">
        <v>430</v>
      </c>
      <c r="R6" s="11">
        <v>45661417</v>
      </c>
      <c r="S6" s="11">
        <v>667200</v>
      </c>
      <c r="T6" s="11">
        <v>41856299</v>
      </c>
      <c r="U6" s="11">
        <v>57990000</v>
      </c>
      <c r="V6" s="12" t="s">
        <v>411</v>
      </c>
      <c r="W6" s="11">
        <v>0</v>
      </c>
      <c r="X6" s="11">
        <v>388122</v>
      </c>
      <c r="Y6" s="11">
        <f t="shared" si="0"/>
        <v>388122</v>
      </c>
      <c r="Z6" s="1">
        <f>+X6/R6</f>
        <v>8.4999990254354136E-3</v>
      </c>
      <c r="AA6" s="13"/>
      <c r="AB6" s="10" t="s">
        <v>412</v>
      </c>
    </row>
    <row r="7" spans="1:29" x14ac:dyDescent="0.25">
      <c r="A7" s="8" t="s">
        <v>401</v>
      </c>
      <c r="B7" s="8" t="s">
        <v>402</v>
      </c>
      <c r="C7" s="9" t="s">
        <v>403</v>
      </c>
      <c r="D7" s="8" t="s">
        <v>2</v>
      </c>
      <c r="E7" s="8" t="s">
        <v>20</v>
      </c>
      <c r="F7" s="8">
        <v>883</v>
      </c>
      <c r="G7" s="8" t="s">
        <v>404</v>
      </c>
      <c r="H7" s="8">
        <v>27057856</v>
      </c>
      <c r="I7" s="8" t="s">
        <v>431</v>
      </c>
      <c r="J7" s="8" t="s">
        <v>428</v>
      </c>
      <c r="K7" s="8" t="s">
        <v>407</v>
      </c>
      <c r="L7" s="8" t="s">
        <v>428</v>
      </c>
      <c r="M7" s="8" t="s">
        <v>29</v>
      </c>
      <c r="N7" s="8">
        <v>8</v>
      </c>
      <c r="O7" s="8" t="s">
        <v>429</v>
      </c>
      <c r="P7" s="8" t="s">
        <v>27</v>
      </c>
      <c r="Q7" s="10" t="s">
        <v>432</v>
      </c>
      <c r="R7" s="11">
        <v>45661417</v>
      </c>
      <c r="S7" s="11">
        <v>667200</v>
      </c>
      <c r="T7" s="11">
        <v>41856299</v>
      </c>
      <c r="U7" s="11">
        <v>57990000</v>
      </c>
      <c r="V7" s="12" t="s">
        <v>411</v>
      </c>
      <c r="W7" s="11">
        <v>7151800</v>
      </c>
      <c r="X7" s="11">
        <v>388122</v>
      </c>
      <c r="Y7" s="11">
        <v>0</v>
      </c>
      <c r="Z7" s="1">
        <f>+X7/R7</f>
        <v>8.4999990254354136E-3</v>
      </c>
      <c r="AA7" s="13"/>
      <c r="AB7" s="10" t="s">
        <v>412</v>
      </c>
    </row>
    <row r="8" spans="1:29" x14ac:dyDescent="0.25">
      <c r="A8" s="8" t="s">
        <v>401</v>
      </c>
      <c r="B8" s="8" t="s">
        <v>402</v>
      </c>
      <c r="C8" s="9" t="s">
        <v>403</v>
      </c>
      <c r="D8" s="8" t="s">
        <v>2</v>
      </c>
      <c r="E8" s="8" t="s">
        <v>20</v>
      </c>
      <c r="F8" s="8">
        <v>883</v>
      </c>
      <c r="G8" s="8" t="s">
        <v>420</v>
      </c>
      <c r="H8" s="8">
        <v>27053415</v>
      </c>
      <c r="I8" s="8" t="s">
        <v>433</v>
      </c>
      <c r="J8" s="8" t="s">
        <v>406</v>
      </c>
      <c r="K8" s="8" t="s">
        <v>415</v>
      </c>
      <c r="L8" s="8" t="s">
        <v>434</v>
      </c>
      <c r="M8" s="8" t="s">
        <v>33</v>
      </c>
      <c r="N8" s="8">
        <v>8</v>
      </c>
      <c r="O8" s="8" t="s">
        <v>435</v>
      </c>
      <c r="P8" s="8" t="s">
        <v>32</v>
      </c>
      <c r="Q8" s="10" t="s">
        <v>436</v>
      </c>
      <c r="R8" s="11">
        <v>86506726</v>
      </c>
      <c r="S8" s="11">
        <v>781200</v>
      </c>
      <c r="T8" s="11">
        <v>85995047</v>
      </c>
      <c r="U8" s="11">
        <v>97752600</v>
      </c>
      <c r="V8" s="12" t="s">
        <v>437</v>
      </c>
      <c r="W8" s="11">
        <v>0</v>
      </c>
      <c r="X8" s="11">
        <v>735307</v>
      </c>
      <c r="Y8" s="11">
        <f t="shared" ref="Y8:Y10" si="1">+X8</f>
        <v>735307</v>
      </c>
      <c r="Z8" s="1">
        <f>+X8/R8</f>
        <v>8.4999980232750919E-3</v>
      </c>
      <c r="AA8" s="13"/>
      <c r="AB8" s="10" t="s">
        <v>412</v>
      </c>
    </row>
    <row r="9" spans="1:29" x14ac:dyDescent="0.25">
      <c r="A9" s="8" t="s">
        <v>401</v>
      </c>
      <c r="B9" s="8" t="s">
        <v>402</v>
      </c>
      <c r="C9" s="9" t="s">
        <v>403</v>
      </c>
      <c r="D9" s="8" t="s">
        <v>2</v>
      </c>
      <c r="E9" s="8" t="s">
        <v>20</v>
      </c>
      <c r="F9" s="8">
        <v>883</v>
      </c>
      <c r="G9" s="8" t="s">
        <v>404</v>
      </c>
      <c r="H9" s="8">
        <v>27053901</v>
      </c>
      <c r="I9" s="8" t="s">
        <v>438</v>
      </c>
      <c r="J9" s="8" t="s">
        <v>439</v>
      </c>
      <c r="K9" s="8" t="s">
        <v>414</v>
      </c>
      <c r="L9" s="8" t="s">
        <v>440</v>
      </c>
      <c r="M9" s="8" t="s">
        <v>31</v>
      </c>
      <c r="N9" s="8">
        <v>8</v>
      </c>
      <c r="O9" s="8" t="s">
        <v>441</v>
      </c>
      <c r="P9" s="8" t="s">
        <v>30</v>
      </c>
      <c r="Q9" s="10" t="s">
        <v>442</v>
      </c>
      <c r="R9" s="11">
        <v>135130619</v>
      </c>
      <c r="S9" s="11">
        <v>1041120</v>
      </c>
      <c r="T9" s="11">
        <v>127425664</v>
      </c>
      <c r="U9" s="11">
        <v>152697599</v>
      </c>
      <c r="V9" s="12" t="s">
        <v>426</v>
      </c>
      <c r="W9" s="11">
        <v>0</v>
      </c>
      <c r="X9" s="11">
        <v>1148610</v>
      </c>
      <c r="Y9" s="11">
        <f t="shared" si="1"/>
        <v>1148610</v>
      </c>
      <c r="Z9" s="1">
        <f>+X9/R9</f>
        <v>8.499998064835328E-3</v>
      </c>
      <c r="AA9" s="13"/>
      <c r="AB9" s="10" t="s">
        <v>412</v>
      </c>
    </row>
    <row r="10" spans="1:29" x14ac:dyDescent="0.25">
      <c r="A10" s="8" t="s">
        <v>401</v>
      </c>
      <c r="B10" s="8" t="s">
        <v>402</v>
      </c>
      <c r="C10" s="9" t="s">
        <v>403</v>
      </c>
      <c r="D10" s="8" t="s">
        <v>2</v>
      </c>
      <c r="E10" s="8" t="s">
        <v>35</v>
      </c>
      <c r="F10" s="8">
        <v>273</v>
      </c>
      <c r="G10" s="8" t="s">
        <v>404</v>
      </c>
      <c r="H10" s="8">
        <v>27084666</v>
      </c>
      <c r="I10" s="8" t="s">
        <v>443</v>
      </c>
      <c r="J10" s="8" t="s">
        <v>423</v>
      </c>
      <c r="K10" s="8" t="s">
        <v>444</v>
      </c>
      <c r="L10" s="8" t="s">
        <v>408</v>
      </c>
      <c r="M10" s="8" t="s">
        <v>37</v>
      </c>
      <c r="N10" s="8">
        <v>4</v>
      </c>
      <c r="O10" s="8" t="s">
        <v>445</v>
      </c>
      <c r="P10" s="8" t="s">
        <v>36</v>
      </c>
      <c r="Q10" s="10" t="s">
        <v>446</v>
      </c>
      <c r="R10" s="11">
        <v>73811024</v>
      </c>
      <c r="S10" s="11">
        <v>1751000</v>
      </c>
      <c r="T10" s="11">
        <v>68212336</v>
      </c>
      <c r="U10" s="11">
        <v>93740000</v>
      </c>
      <c r="V10" s="12" t="s">
        <v>411</v>
      </c>
      <c r="W10" s="11">
        <v>0</v>
      </c>
      <c r="X10" s="11">
        <v>369055</v>
      </c>
      <c r="Y10" s="11">
        <f t="shared" si="1"/>
        <v>369055</v>
      </c>
      <c r="Z10" s="1">
        <f>+X10/R10</f>
        <v>4.9999983742265927E-3</v>
      </c>
      <c r="AA10" s="13"/>
      <c r="AB10" s="10" t="s">
        <v>412</v>
      </c>
    </row>
    <row r="11" spans="1:29" x14ac:dyDescent="0.25">
      <c r="A11" s="8" t="s">
        <v>401</v>
      </c>
      <c r="B11" s="8" t="s">
        <v>402</v>
      </c>
      <c r="C11" s="9" t="s">
        <v>403</v>
      </c>
      <c r="D11" s="8" t="s">
        <v>2</v>
      </c>
      <c r="E11" s="8" t="s">
        <v>35</v>
      </c>
      <c r="F11" s="8">
        <v>273</v>
      </c>
      <c r="G11" s="8" t="s">
        <v>404</v>
      </c>
      <c r="H11" s="8">
        <v>27077853</v>
      </c>
      <c r="I11" s="8" t="s">
        <v>447</v>
      </c>
      <c r="J11" s="8" t="s">
        <v>414</v>
      </c>
      <c r="K11" s="8" t="s">
        <v>407</v>
      </c>
      <c r="L11" s="8" t="s">
        <v>414</v>
      </c>
      <c r="M11" s="8" t="s">
        <v>39</v>
      </c>
      <c r="N11" s="8">
        <v>4</v>
      </c>
      <c r="O11" s="8" t="s">
        <v>429</v>
      </c>
      <c r="P11" s="8" t="s">
        <v>27</v>
      </c>
      <c r="Q11" s="10" t="s">
        <v>448</v>
      </c>
      <c r="R11" s="11">
        <v>45661417</v>
      </c>
      <c r="S11" s="11">
        <v>667200</v>
      </c>
      <c r="T11" s="11">
        <v>41856299</v>
      </c>
      <c r="U11" s="11">
        <v>57990000</v>
      </c>
      <c r="V11" s="12" t="s">
        <v>411</v>
      </c>
      <c r="W11" s="11">
        <v>9729277</v>
      </c>
      <c r="X11" s="11">
        <v>228307</v>
      </c>
      <c r="Y11" s="11">
        <v>0</v>
      </c>
      <c r="Z11" s="1">
        <f>+X11/R11</f>
        <v>4.9999981384721368E-3</v>
      </c>
      <c r="AA11" s="13"/>
      <c r="AB11" s="10" t="s">
        <v>412</v>
      </c>
    </row>
    <row r="12" spans="1:29" x14ac:dyDescent="0.25">
      <c r="A12" s="8" t="s">
        <v>401</v>
      </c>
      <c r="B12" s="8" t="s">
        <v>402</v>
      </c>
      <c r="C12" s="9" t="s">
        <v>403</v>
      </c>
      <c r="D12" s="8" t="s">
        <v>2</v>
      </c>
      <c r="E12" s="8" t="s">
        <v>35</v>
      </c>
      <c r="F12" s="8">
        <v>273</v>
      </c>
      <c r="G12" s="8" t="s">
        <v>404</v>
      </c>
      <c r="H12" s="8">
        <v>27071138</v>
      </c>
      <c r="I12" s="8" t="s">
        <v>449</v>
      </c>
      <c r="J12" s="8" t="s">
        <v>428</v>
      </c>
      <c r="K12" s="8" t="s">
        <v>407</v>
      </c>
      <c r="L12" s="8" t="s">
        <v>415</v>
      </c>
      <c r="M12" s="8" t="s">
        <v>38</v>
      </c>
      <c r="N12" s="8">
        <v>4</v>
      </c>
      <c r="O12" s="8" t="s">
        <v>429</v>
      </c>
      <c r="P12" s="8" t="s">
        <v>27</v>
      </c>
      <c r="Q12" s="10" t="s">
        <v>450</v>
      </c>
      <c r="R12" s="11">
        <v>45661417</v>
      </c>
      <c r="S12" s="11">
        <v>667200</v>
      </c>
      <c r="T12" s="11">
        <v>41856299</v>
      </c>
      <c r="U12" s="11">
        <v>57990000</v>
      </c>
      <c r="V12" s="12" t="s">
        <v>411</v>
      </c>
      <c r="W12" s="11">
        <v>0</v>
      </c>
      <c r="X12" s="11">
        <v>228307</v>
      </c>
      <c r="Y12" s="11">
        <f t="shared" ref="Y12:Y17" si="2">+X12</f>
        <v>228307</v>
      </c>
      <c r="Z12" s="1">
        <f>+X12/R12</f>
        <v>4.9999981384721368E-3</v>
      </c>
      <c r="AA12" s="13"/>
      <c r="AB12" s="10" t="s">
        <v>412</v>
      </c>
    </row>
    <row r="13" spans="1:29" x14ac:dyDescent="0.25">
      <c r="A13" s="8" t="s">
        <v>401</v>
      </c>
      <c r="B13" s="8" t="s">
        <v>402</v>
      </c>
      <c r="C13" s="9" t="s">
        <v>403</v>
      </c>
      <c r="D13" s="8" t="s">
        <v>2</v>
      </c>
      <c r="E13" s="8" t="s">
        <v>35</v>
      </c>
      <c r="F13" s="8">
        <v>273</v>
      </c>
      <c r="G13" s="8" t="s">
        <v>404</v>
      </c>
      <c r="H13" s="8">
        <v>27048073</v>
      </c>
      <c r="I13" s="8" t="s">
        <v>451</v>
      </c>
      <c r="J13" s="8" t="s">
        <v>452</v>
      </c>
      <c r="K13" s="8" t="s">
        <v>434</v>
      </c>
      <c r="L13" s="8" t="s">
        <v>434</v>
      </c>
      <c r="M13" s="8" t="s">
        <v>40</v>
      </c>
      <c r="N13" s="8">
        <v>4</v>
      </c>
      <c r="O13" s="8" t="s">
        <v>435</v>
      </c>
      <c r="P13" s="8" t="s">
        <v>32</v>
      </c>
      <c r="Q13" s="10" t="s">
        <v>453</v>
      </c>
      <c r="R13" s="11">
        <v>87380531</v>
      </c>
      <c r="S13" s="11">
        <v>735600</v>
      </c>
      <c r="T13" s="11">
        <v>85995047</v>
      </c>
      <c r="U13" s="11">
        <v>98740000</v>
      </c>
      <c r="V13" s="12" t="s">
        <v>454</v>
      </c>
      <c r="W13" s="11">
        <v>0</v>
      </c>
      <c r="X13" s="11">
        <v>436903</v>
      </c>
      <c r="Y13" s="11">
        <f t="shared" si="2"/>
        <v>436903</v>
      </c>
      <c r="Z13" s="1">
        <f>+X13/R13</f>
        <v>5.0000039482479223E-3</v>
      </c>
      <c r="AA13" s="13"/>
      <c r="AB13" s="10" t="s">
        <v>412</v>
      </c>
    </row>
    <row r="14" spans="1:29" x14ac:dyDescent="0.25">
      <c r="A14" s="8" t="s">
        <v>401</v>
      </c>
      <c r="B14" s="8" t="s">
        <v>402</v>
      </c>
      <c r="C14" s="9" t="s">
        <v>403</v>
      </c>
      <c r="D14" s="8" t="s">
        <v>2</v>
      </c>
      <c r="E14" s="8" t="s">
        <v>42</v>
      </c>
      <c r="F14" s="8">
        <v>753</v>
      </c>
      <c r="G14" s="8" t="s">
        <v>404</v>
      </c>
      <c r="H14" s="8">
        <v>27071019</v>
      </c>
      <c r="I14" s="8" t="s">
        <v>455</v>
      </c>
      <c r="J14" s="8" t="s">
        <v>456</v>
      </c>
      <c r="K14" s="8" t="s">
        <v>407</v>
      </c>
      <c r="L14" s="8" t="s">
        <v>457</v>
      </c>
      <c r="M14" s="8" t="s">
        <v>44</v>
      </c>
      <c r="N14" s="8">
        <v>2</v>
      </c>
      <c r="O14" s="8" t="s">
        <v>458</v>
      </c>
      <c r="P14" s="8" t="s">
        <v>43</v>
      </c>
      <c r="Q14" s="10" t="s">
        <v>459</v>
      </c>
      <c r="R14" s="11">
        <v>51763780</v>
      </c>
      <c r="S14" s="11">
        <v>667200</v>
      </c>
      <c r="T14" s="11">
        <v>46908793</v>
      </c>
      <c r="U14" s="11">
        <v>65740001</v>
      </c>
      <c r="V14" s="12" t="s">
        <v>417</v>
      </c>
      <c r="W14" s="11">
        <v>0</v>
      </c>
      <c r="X14" s="11">
        <v>258819</v>
      </c>
      <c r="Y14" s="11">
        <f t="shared" si="2"/>
        <v>258819</v>
      </c>
      <c r="Z14" s="1">
        <f>+X14/R14</f>
        <v>5.000001931852736E-3</v>
      </c>
      <c r="AA14" s="13"/>
      <c r="AB14" s="10" t="s">
        <v>412</v>
      </c>
    </row>
    <row r="15" spans="1:29" x14ac:dyDescent="0.25">
      <c r="A15" s="8" t="s">
        <v>401</v>
      </c>
      <c r="B15" s="8" t="s">
        <v>402</v>
      </c>
      <c r="C15" s="9" t="s">
        <v>403</v>
      </c>
      <c r="D15" s="8" t="s">
        <v>2</v>
      </c>
      <c r="E15" s="8" t="s">
        <v>42</v>
      </c>
      <c r="F15" s="8">
        <v>753</v>
      </c>
      <c r="G15" s="8" t="s">
        <v>404</v>
      </c>
      <c r="H15" s="8">
        <v>27072421</v>
      </c>
      <c r="I15" s="8" t="s">
        <v>460</v>
      </c>
      <c r="J15" s="8" t="s">
        <v>428</v>
      </c>
      <c r="K15" s="8" t="s">
        <v>428</v>
      </c>
      <c r="L15" s="8" t="s">
        <v>408</v>
      </c>
      <c r="M15" s="8" t="s">
        <v>46</v>
      </c>
      <c r="N15" s="8">
        <v>2</v>
      </c>
      <c r="O15" s="8" t="s">
        <v>461</v>
      </c>
      <c r="P15" s="8" t="s">
        <v>45</v>
      </c>
      <c r="Q15" s="10" t="s">
        <v>462</v>
      </c>
      <c r="R15" s="11">
        <v>70149606</v>
      </c>
      <c r="S15" s="11">
        <v>781200</v>
      </c>
      <c r="T15" s="11">
        <v>64953412</v>
      </c>
      <c r="U15" s="11">
        <v>89090000</v>
      </c>
      <c r="V15" s="12" t="s">
        <v>463</v>
      </c>
      <c r="W15" s="11">
        <v>0</v>
      </c>
      <c r="X15" s="11">
        <v>350748</v>
      </c>
      <c r="Y15" s="11">
        <f t="shared" si="2"/>
        <v>350748</v>
      </c>
      <c r="Z15" s="1">
        <f>+X15/R15</f>
        <v>4.9999995723425733E-3</v>
      </c>
      <c r="AA15" s="13"/>
      <c r="AB15" s="10" t="s">
        <v>412</v>
      </c>
    </row>
    <row r="16" spans="1:29" x14ac:dyDescent="0.25">
      <c r="A16" s="8" t="s">
        <v>401</v>
      </c>
      <c r="B16" s="8" t="s">
        <v>402</v>
      </c>
      <c r="C16" s="9" t="s">
        <v>403</v>
      </c>
      <c r="D16" s="8" t="s">
        <v>2</v>
      </c>
      <c r="E16" s="8" t="s">
        <v>48</v>
      </c>
      <c r="F16" s="8">
        <v>951</v>
      </c>
      <c r="G16" s="8" t="s">
        <v>464</v>
      </c>
      <c r="H16" s="8">
        <v>27066874</v>
      </c>
      <c r="I16" s="8" t="s">
        <v>465</v>
      </c>
      <c r="J16" s="8" t="s">
        <v>414</v>
      </c>
      <c r="K16" s="8" t="s">
        <v>407</v>
      </c>
      <c r="L16" s="8" t="s">
        <v>414</v>
      </c>
      <c r="M16" s="8" t="s">
        <v>52</v>
      </c>
      <c r="N16" s="8">
        <v>8</v>
      </c>
      <c r="O16" s="8" t="s">
        <v>466</v>
      </c>
      <c r="P16" s="8" t="s">
        <v>51</v>
      </c>
      <c r="Q16" s="10" t="s">
        <v>467</v>
      </c>
      <c r="R16" s="11">
        <v>62000000</v>
      </c>
      <c r="S16" s="11">
        <v>1464000</v>
      </c>
      <c r="T16" s="11">
        <v>58107349</v>
      </c>
      <c r="U16" s="11">
        <v>78740000</v>
      </c>
      <c r="V16" s="12" t="s">
        <v>426</v>
      </c>
      <c r="W16" s="11">
        <v>0</v>
      </c>
      <c r="X16" s="11">
        <v>527000</v>
      </c>
      <c r="Y16" s="11">
        <f t="shared" si="2"/>
        <v>527000</v>
      </c>
      <c r="Z16" s="1">
        <f>+X16/R16</f>
        <v>8.5000000000000006E-3</v>
      </c>
      <c r="AA16" s="13"/>
      <c r="AB16" s="10" t="s">
        <v>412</v>
      </c>
    </row>
    <row r="17" spans="1:28" x14ac:dyDescent="0.25">
      <c r="A17" s="8" t="s">
        <v>401</v>
      </c>
      <c r="B17" s="8" t="s">
        <v>402</v>
      </c>
      <c r="C17" s="9" t="s">
        <v>403</v>
      </c>
      <c r="D17" s="8" t="s">
        <v>2</v>
      </c>
      <c r="E17" s="8" t="s">
        <v>48</v>
      </c>
      <c r="F17" s="8">
        <v>951</v>
      </c>
      <c r="G17" s="8" t="s">
        <v>464</v>
      </c>
      <c r="H17" s="8">
        <v>27069237</v>
      </c>
      <c r="I17" s="8" t="s">
        <v>468</v>
      </c>
      <c r="J17" s="8" t="s">
        <v>456</v>
      </c>
      <c r="K17" s="8" t="s">
        <v>407</v>
      </c>
      <c r="L17" s="8" t="s">
        <v>415</v>
      </c>
      <c r="M17" s="8" t="s">
        <v>50</v>
      </c>
      <c r="N17" s="8">
        <v>8</v>
      </c>
      <c r="O17" s="8" t="s">
        <v>469</v>
      </c>
      <c r="P17" s="8" t="s">
        <v>49</v>
      </c>
      <c r="Q17" s="10" t="s">
        <v>470</v>
      </c>
      <c r="R17" s="11">
        <v>67779528</v>
      </c>
      <c r="S17" s="11">
        <v>1431000</v>
      </c>
      <c r="T17" s="11">
        <v>64603412</v>
      </c>
      <c r="U17" s="11">
        <v>86080001</v>
      </c>
      <c r="V17" s="12" t="s">
        <v>471</v>
      </c>
      <c r="W17" s="11">
        <v>0</v>
      </c>
      <c r="X17" s="11">
        <v>576126</v>
      </c>
      <c r="Y17" s="11">
        <f t="shared" si="2"/>
        <v>576126</v>
      </c>
      <c r="Z17" s="1">
        <f>+X17/R17</f>
        <v>8.5000001770446088E-3</v>
      </c>
      <c r="AA17" s="13"/>
      <c r="AB17" s="10" t="s">
        <v>412</v>
      </c>
    </row>
    <row r="18" spans="1:28" x14ac:dyDescent="0.25">
      <c r="A18" s="8" t="s">
        <v>401</v>
      </c>
      <c r="B18" s="8" t="s">
        <v>402</v>
      </c>
      <c r="C18" s="9" t="s">
        <v>403</v>
      </c>
      <c r="D18" s="8" t="s">
        <v>2</v>
      </c>
      <c r="E18" s="8" t="s">
        <v>48</v>
      </c>
      <c r="F18" s="8">
        <v>951</v>
      </c>
      <c r="G18" s="8" t="s">
        <v>404</v>
      </c>
      <c r="H18" s="8">
        <v>26975402</v>
      </c>
      <c r="I18" s="8" t="s">
        <v>472</v>
      </c>
      <c r="J18" s="8" t="s">
        <v>428</v>
      </c>
      <c r="K18" s="8" t="s">
        <v>407</v>
      </c>
      <c r="L18" s="8" t="s">
        <v>408</v>
      </c>
      <c r="M18" s="8" t="s">
        <v>53</v>
      </c>
      <c r="N18" s="8">
        <v>8</v>
      </c>
      <c r="O18" s="8" t="s">
        <v>429</v>
      </c>
      <c r="P18" s="8" t="s">
        <v>27</v>
      </c>
      <c r="Q18" s="10" t="s">
        <v>473</v>
      </c>
      <c r="R18" s="11">
        <v>45661417</v>
      </c>
      <c r="S18" s="11">
        <v>667200</v>
      </c>
      <c r="T18" s="11">
        <v>41856299</v>
      </c>
      <c r="U18" s="11">
        <v>57990000</v>
      </c>
      <c r="V18" s="12" t="s">
        <v>411</v>
      </c>
      <c r="W18" s="11">
        <v>0</v>
      </c>
      <c r="X18" s="11">
        <v>388122</v>
      </c>
      <c r="Y18" s="11">
        <f>+X18</f>
        <v>388122</v>
      </c>
      <c r="Z18" s="1">
        <f>+X18/R18</f>
        <v>8.4999990254354136E-3</v>
      </c>
      <c r="AA18" s="13"/>
      <c r="AB18" s="10" t="s">
        <v>412</v>
      </c>
    </row>
    <row r="19" spans="1:28" x14ac:dyDescent="0.25">
      <c r="A19" s="8" t="s">
        <v>401</v>
      </c>
      <c r="B19" s="8" t="s">
        <v>402</v>
      </c>
      <c r="C19" s="9" t="s">
        <v>403</v>
      </c>
      <c r="D19" s="8" t="s">
        <v>2</v>
      </c>
      <c r="E19" s="8" t="s">
        <v>48</v>
      </c>
      <c r="F19" s="8">
        <v>951</v>
      </c>
      <c r="G19" s="8" t="s">
        <v>404</v>
      </c>
      <c r="H19" s="8">
        <v>27045487</v>
      </c>
      <c r="I19" s="8" t="s">
        <v>474</v>
      </c>
      <c r="J19" s="8" t="s">
        <v>428</v>
      </c>
      <c r="K19" s="8" t="s">
        <v>407</v>
      </c>
      <c r="L19" s="8" t="s">
        <v>408</v>
      </c>
      <c r="M19" s="8" t="s">
        <v>54</v>
      </c>
      <c r="N19" s="8">
        <v>8</v>
      </c>
      <c r="O19" s="8" t="s">
        <v>429</v>
      </c>
      <c r="P19" s="8" t="s">
        <v>27</v>
      </c>
      <c r="Q19" s="10" t="s">
        <v>475</v>
      </c>
      <c r="R19" s="11">
        <v>45661417</v>
      </c>
      <c r="S19" s="11">
        <v>667200</v>
      </c>
      <c r="T19" s="11">
        <v>41856299</v>
      </c>
      <c r="U19" s="11">
        <v>57990000</v>
      </c>
      <c r="V19" s="12" t="s">
        <v>411</v>
      </c>
      <c r="W19" s="11">
        <v>49221800</v>
      </c>
      <c r="X19" s="11">
        <v>388122</v>
      </c>
      <c r="Y19" s="11">
        <v>0</v>
      </c>
      <c r="Z19" s="1">
        <f>+X19/R19</f>
        <v>8.4999990254354136E-3</v>
      </c>
      <c r="AA19" s="13"/>
      <c r="AB19" s="10" t="s">
        <v>412</v>
      </c>
    </row>
    <row r="20" spans="1:28" x14ac:dyDescent="0.25">
      <c r="A20" s="8" t="s">
        <v>401</v>
      </c>
      <c r="B20" s="8" t="s">
        <v>402</v>
      </c>
      <c r="C20" s="9" t="s">
        <v>403</v>
      </c>
      <c r="D20" s="8" t="s">
        <v>2</v>
      </c>
      <c r="E20" s="8" t="s">
        <v>48</v>
      </c>
      <c r="F20" s="8">
        <v>951</v>
      </c>
      <c r="G20" s="8" t="s">
        <v>404</v>
      </c>
      <c r="H20" s="8">
        <v>23144299</v>
      </c>
      <c r="I20" s="8" t="s">
        <v>476</v>
      </c>
      <c r="J20" s="8" t="s">
        <v>428</v>
      </c>
      <c r="K20" s="8" t="s">
        <v>407</v>
      </c>
      <c r="L20" s="8" t="s">
        <v>408</v>
      </c>
      <c r="M20" s="8" t="s">
        <v>55</v>
      </c>
      <c r="N20" s="8">
        <v>8</v>
      </c>
      <c r="O20" s="8" t="s">
        <v>429</v>
      </c>
      <c r="P20" s="8" t="s">
        <v>27</v>
      </c>
      <c r="Q20" s="10" t="s">
        <v>477</v>
      </c>
      <c r="R20" s="11">
        <v>45661417</v>
      </c>
      <c r="S20" s="11">
        <v>667200</v>
      </c>
      <c r="T20" s="11">
        <v>41856299</v>
      </c>
      <c r="U20" s="11">
        <v>57990000</v>
      </c>
      <c r="V20" s="12" t="s">
        <v>411</v>
      </c>
      <c r="W20" s="11">
        <v>0</v>
      </c>
      <c r="X20" s="11">
        <v>388122</v>
      </c>
      <c r="Y20" s="11">
        <f>X20</f>
        <v>388122</v>
      </c>
      <c r="Z20" s="1">
        <f>+X20/R20</f>
        <v>8.4999990254354136E-3</v>
      </c>
      <c r="AA20" s="13"/>
      <c r="AB20" s="10" t="s">
        <v>412</v>
      </c>
    </row>
    <row r="21" spans="1:28" ht="15.75" customHeight="1" x14ac:dyDescent="0.25">
      <c r="A21" s="8" t="s">
        <v>401</v>
      </c>
      <c r="B21" s="8" t="s">
        <v>402</v>
      </c>
      <c r="C21" s="9" t="s">
        <v>403</v>
      </c>
      <c r="D21" s="8" t="s">
        <v>2</v>
      </c>
      <c r="E21" s="8" t="s">
        <v>48</v>
      </c>
      <c r="F21" s="8">
        <v>951</v>
      </c>
      <c r="G21" s="8" t="s">
        <v>478</v>
      </c>
      <c r="H21" s="8">
        <v>23115575</v>
      </c>
      <c r="I21" s="8" t="s">
        <v>479</v>
      </c>
      <c r="J21" s="8" t="s">
        <v>456</v>
      </c>
      <c r="K21" s="8" t="s">
        <v>407</v>
      </c>
      <c r="L21" s="8" t="s">
        <v>456</v>
      </c>
      <c r="M21" s="8" t="s">
        <v>56</v>
      </c>
      <c r="N21" s="8">
        <v>8</v>
      </c>
      <c r="O21" s="8" t="s">
        <v>458</v>
      </c>
      <c r="P21" s="8" t="s">
        <v>43</v>
      </c>
      <c r="Q21" s="10" t="s">
        <v>480</v>
      </c>
      <c r="R21" s="11">
        <v>50211024</v>
      </c>
      <c r="S21" s="11">
        <v>667200</v>
      </c>
      <c r="T21" s="11">
        <v>46908793</v>
      </c>
      <c r="U21" s="11">
        <v>63768000</v>
      </c>
      <c r="V21" s="12" t="s">
        <v>463</v>
      </c>
      <c r="W21" s="11">
        <v>3068000</v>
      </c>
      <c r="X21" s="11">
        <v>426794</v>
      </c>
      <c r="Y21" s="11">
        <v>0</v>
      </c>
      <c r="Z21" s="1">
        <f>+X21/R21</f>
        <v>8.5000058951197645E-3</v>
      </c>
      <c r="AA21" s="13"/>
      <c r="AB21" s="10" t="s">
        <v>412</v>
      </c>
    </row>
    <row r="22" spans="1:28" ht="15.75" customHeight="1" x14ac:dyDescent="0.25">
      <c r="A22" s="8" t="s">
        <v>401</v>
      </c>
      <c r="B22" s="8" t="s">
        <v>402</v>
      </c>
      <c r="C22" s="9" t="s">
        <v>403</v>
      </c>
      <c r="D22" s="8" t="s">
        <v>2</v>
      </c>
      <c r="E22" s="8" t="s">
        <v>48</v>
      </c>
      <c r="F22" s="8">
        <v>951</v>
      </c>
      <c r="G22" s="8" t="s">
        <v>478</v>
      </c>
      <c r="H22" s="8">
        <v>23158391</v>
      </c>
      <c r="I22" s="8" t="s">
        <v>481</v>
      </c>
      <c r="J22" s="8" t="s">
        <v>456</v>
      </c>
      <c r="K22" s="8" t="s">
        <v>407</v>
      </c>
      <c r="L22" s="8" t="s">
        <v>456</v>
      </c>
      <c r="M22" s="8" t="s">
        <v>57</v>
      </c>
      <c r="N22" s="8">
        <v>8</v>
      </c>
      <c r="O22" s="8" t="s">
        <v>458</v>
      </c>
      <c r="P22" s="8" t="s">
        <v>43</v>
      </c>
      <c r="Q22" s="10" t="s">
        <v>482</v>
      </c>
      <c r="R22" s="11">
        <v>51763780</v>
      </c>
      <c r="S22" s="11">
        <v>667200</v>
      </c>
      <c r="T22" s="11">
        <v>46908793</v>
      </c>
      <c r="U22" s="11">
        <v>65740001</v>
      </c>
      <c r="V22" s="12" t="s">
        <v>417</v>
      </c>
      <c r="W22" s="11">
        <v>1574001</v>
      </c>
      <c r="X22" s="11">
        <v>439992</v>
      </c>
      <c r="Y22" s="11">
        <v>0</v>
      </c>
      <c r="Z22" s="1">
        <f>+X22/R22</f>
        <v>8.4999974885914438E-3</v>
      </c>
      <c r="AA22" s="13"/>
      <c r="AB22" s="10" t="s">
        <v>412</v>
      </c>
    </row>
    <row r="23" spans="1:28" ht="15.75" customHeight="1" x14ac:dyDescent="0.25">
      <c r="A23" s="8" t="s">
        <v>401</v>
      </c>
      <c r="B23" s="8" t="s">
        <v>402</v>
      </c>
      <c r="C23" s="9" t="s">
        <v>403</v>
      </c>
      <c r="D23" s="8" t="s">
        <v>2</v>
      </c>
      <c r="E23" s="8" t="s">
        <v>48</v>
      </c>
      <c r="F23" s="8">
        <v>951</v>
      </c>
      <c r="G23" s="8" t="s">
        <v>404</v>
      </c>
      <c r="H23" s="8">
        <v>27015332</v>
      </c>
      <c r="I23" s="8" t="s">
        <v>483</v>
      </c>
      <c r="J23" s="8" t="s">
        <v>484</v>
      </c>
      <c r="K23" s="8" t="s">
        <v>444</v>
      </c>
      <c r="L23" s="8" t="s">
        <v>408</v>
      </c>
      <c r="M23" s="8" t="s">
        <v>59</v>
      </c>
      <c r="N23" s="8">
        <v>8</v>
      </c>
      <c r="O23" s="8" t="s">
        <v>485</v>
      </c>
      <c r="P23" s="8" t="s">
        <v>58</v>
      </c>
      <c r="Q23" s="10" t="s">
        <v>486</v>
      </c>
      <c r="R23" s="11">
        <v>76960630</v>
      </c>
      <c r="S23" s="11">
        <v>1454000</v>
      </c>
      <c r="T23" s="11">
        <v>73013970</v>
      </c>
      <c r="U23" s="11">
        <v>97740000</v>
      </c>
      <c r="V23" s="12" t="s">
        <v>471</v>
      </c>
      <c r="W23" s="11">
        <v>0</v>
      </c>
      <c r="X23" s="11">
        <v>654165</v>
      </c>
      <c r="Y23" s="11">
        <f t="shared" ref="Y23:Y24" si="3">+X23</f>
        <v>654165</v>
      </c>
      <c r="Z23" s="1">
        <f>+X23/R23</f>
        <v>8.499995387251897E-3</v>
      </c>
      <c r="AA23" s="13"/>
      <c r="AB23" s="10" t="s">
        <v>412</v>
      </c>
    </row>
    <row r="24" spans="1:28" ht="15.75" customHeight="1" x14ac:dyDescent="0.25">
      <c r="A24" s="8" t="s">
        <v>401</v>
      </c>
      <c r="B24" s="8" t="s">
        <v>402</v>
      </c>
      <c r="C24" s="9" t="s">
        <v>403</v>
      </c>
      <c r="D24" s="8" t="s">
        <v>2</v>
      </c>
      <c r="E24" s="8" t="s">
        <v>61</v>
      </c>
      <c r="F24" s="8">
        <v>123</v>
      </c>
      <c r="G24" s="8" t="s">
        <v>404</v>
      </c>
      <c r="H24" s="8">
        <v>26986704</v>
      </c>
      <c r="I24" s="8" t="s">
        <v>487</v>
      </c>
      <c r="J24" s="8" t="s">
        <v>488</v>
      </c>
      <c r="K24" s="8" t="s">
        <v>489</v>
      </c>
      <c r="L24" s="8" t="s">
        <v>490</v>
      </c>
      <c r="M24" s="8" t="s">
        <v>63</v>
      </c>
      <c r="N24" s="8">
        <v>11</v>
      </c>
      <c r="O24" s="8" t="s">
        <v>409</v>
      </c>
      <c r="P24" s="8" t="s">
        <v>21</v>
      </c>
      <c r="Q24" s="10" t="s">
        <v>491</v>
      </c>
      <c r="R24" s="11">
        <v>83986299</v>
      </c>
      <c r="S24" s="11">
        <v>1431000</v>
      </c>
      <c r="T24" s="11">
        <v>77595538</v>
      </c>
      <c r="U24" s="11">
        <v>106662600</v>
      </c>
      <c r="V24" s="12" t="s">
        <v>411</v>
      </c>
      <c r="W24" s="11">
        <v>0</v>
      </c>
      <c r="X24" s="11">
        <v>713884</v>
      </c>
      <c r="Y24" s="11">
        <f t="shared" si="3"/>
        <v>713884</v>
      </c>
      <c r="Z24" s="1">
        <f>+X24/R24</f>
        <v>8.5000054592237716E-3</v>
      </c>
      <c r="AA24" s="13"/>
      <c r="AB24" s="10" t="s">
        <v>412</v>
      </c>
    </row>
    <row r="25" spans="1:28" ht="15.75" customHeight="1" x14ac:dyDescent="0.25">
      <c r="A25" s="8" t="s">
        <v>401</v>
      </c>
      <c r="B25" s="8" t="s">
        <v>402</v>
      </c>
      <c r="C25" s="9" t="s">
        <v>403</v>
      </c>
      <c r="D25" s="8" t="s">
        <v>2</v>
      </c>
      <c r="E25" s="8" t="s">
        <v>61</v>
      </c>
      <c r="F25" s="8">
        <v>123</v>
      </c>
      <c r="G25" s="8" t="s">
        <v>404</v>
      </c>
      <c r="H25" s="8">
        <v>27078263</v>
      </c>
      <c r="I25" s="8" t="s">
        <v>492</v>
      </c>
      <c r="J25" s="8" t="s">
        <v>414</v>
      </c>
      <c r="K25" s="8" t="s">
        <v>407</v>
      </c>
      <c r="L25" s="8" t="s">
        <v>415</v>
      </c>
      <c r="M25" s="8" t="s">
        <v>62</v>
      </c>
      <c r="N25" s="8">
        <v>11</v>
      </c>
      <c r="O25" s="8" t="s">
        <v>409</v>
      </c>
      <c r="P25" s="8" t="s">
        <v>21</v>
      </c>
      <c r="Q25" s="10" t="s">
        <v>493</v>
      </c>
      <c r="R25" s="11">
        <v>84047244</v>
      </c>
      <c r="S25" s="11">
        <v>1834000</v>
      </c>
      <c r="T25" s="11">
        <v>76151969</v>
      </c>
      <c r="U25" s="11">
        <v>106740000</v>
      </c>
      <c r="V25" s="12" t="s">
        <v>417</v>
      </c>
      <c r="W25" s="11">
        <v>0</v>
      </c>
      <c r="X25" s="11">
        <v>714402</v>
      </c>
      <c r="Y25" s="11">
        <f t="shared" ref="Y25:Y26" si="4">X25</f>
        <v>714402</v>
      </c>
      <c r="Z25" s="1">
        <f>+X25/R25</f>
        <v>8.5000050685778584E-3</v>
      </c>
      <c r="AA25" s="13"/>
      <c r="AB25" s="10" t="s">
        <v>412</v>
      </c>
    </row>
    <row r="26" spans="1:28" ht="15.75" customHeight="1" x14ac:dyDescent="0.25">
      <c r="A26" s="8" t="s">
        <v>401</v>
      </c>
      <c r="B26" s="8" t="s">
        <v>402</v>
      </c>
      <c r="C26" s="9" t="s">
        <v>403</v>
      </c>
      <c r="D26" s="8" t="s">
        <v>2</v>
      </c>
      <c r="E26" s="8" t="s">
        <v>61</v>
      </c>
      <c r="F26" s="8">
        <v>123</v>
      </c>
      <c r="G26" s="8" t="s">
        <v>404</v>
      </c>
      <c r="H26" s="8">
        <v>27051475</v>
      </c>
      <c r="I26" s="8" t="s">
        <v>494</v>
      </c>
      <c r="J26" s="8" t="s">
        <v>414</v>
      </c>
      <c r="K26" s="8" t="s">
        <v>407</v>
      </c>
      <c r="L26" s="8" t="s">
        <v>415</v>
      </c>
      <c r="M26" s="8" t="s">
        <v>65</v>
      </c>
      <c r="N26" s="8">
        <v>11</v>
      </c>
      <c r="O26" s="8" t="s">
        <v>466</v>
      </c>
      <c r="P26" s="8" t="s">
        <v>51</v>
      </c>
      <c r="Q26" s="10" t="s">
        <v>495</v>
      </c>
      <c r="R26" s="11">
        <v>63771654</v>
      </c>
      <c r="S26" s="11">
        <v>1834000</v>
      </c>
      <c r="T26" s="11">
        <v>58107349</v>
      </c>
      <c r="U26" s="11">
        <v>80990001</v>
      </c>
      <c r="V26" s="12" t="s">
        <v>417</v>
      </c>
      <c r="W26" s="11">
        <v>0</v>
      </c>
      <c r="X26" s="11">
        <v>542059</v>
      </c>
      <c r="Y26" s="11">
        <f t="shared" si="4"/>
        <v>542059</v>
      </c>
      <c r="Z26" s="1">
        <f>+X26/R26</f>
        <v>8.4999990748240595E-3</v>
      </c>
      <c r="AA26" s="13"/>
      <c r="AB26" s="10" t="s">
        <v>412</v>
      </c>
    </row>
    <row r="27" spans="1:28" ht="15.75" customHeight="1" x14ac:dyDescent="0.25">
      <c r="A27" s="8" t="s">
        <v>401</v>
      </c>
      <c r="B27" s="8" t="s">
        <v>402</v>
      </c>
      <c r="C27" s="9" t="s">
        <v>403</v>
      </c>
      <c r="D27" s="8" t="s">
        <v>2</v>
      </c>
      <c r="E27" s="8" t="s">
        <v>61</v>
      </c>
      <c r="F27" s="8">
        <v>123</v>
      </c>
      <c r="G27" s="8" t="s">
        <v>496</v>
      </c>
      <c r="H27" s="8">
        <v>27073841</v>
      </c>
      <c r="I27" s="8" t="s">
        <v>497</v>
      </c>
      <c r="J27" s="8" t="s">
        <v>414</v>
      </c>
      <c r="K27" s="8" t="s">
        <v>498</v>
      </c>
      <c r="L27" s="8" t="s">
        <v>415</v>
      </c>
      <c r="M27" s="8" t="s">
        <v>67</v>
      </c>
      <c r="N27" s="8">
        <v>11</v>
      </c>
      <c r="O27" s="8" t="s">
        <v>499</v>
      </c>
      <c r="P27" s="8" t="s">
        <v>66</v>
      </c>
      <c r="Q27" s="10" t="s">
        <v>500</v>
      </c>
      <c r="R27" s="11">
        <v>75385827</v>
      </c>
      <c r="S27" s="11">
        <v>1751000</v>
      </c>
      <c r="T27" s="11">
        <v>69655906</v>
      </c>
      <c r="U27" s="11">
        <v>95740000</v>
      </c>
      <c r="V27" s="12" t="s">
        <v>411</v>
      </c>
      <c r="W27" s="11">
        <v>0</v>
      </c>
      <c r="X27" s="11">
        <v>640780</v>
      </c>
      <c r="Y27" s="11">
        <f t="shared" ref="Y27:Y28" si="5">+X27</f>
        <v>640780</v>
      </c>
      <c r="Z27" s="1">
        <f>+X27/R27</f>
        <v>8.5000062412262187E-3</v>
      </c>
      <c r="AA27" s="13"/>
      <c r="AB27" s="10" t="s">
        <v>412</v>
      </c>
    </row>
    <row r="28" spans="1:28" ht="15.75" customHeight="1" x14ac:dyDescent="0.25">
      <c r="A28" s="8" t="s">
        <v>401</v>
      </c>
      <c r="B28" s="8" t="s">
        <v>402</v>
      </c>
      <c r="C28" s="9" t="s">
        <v>403</v>
      </c>
      <c r="D28" s="8" t="s">
        <v>2</v>
      </c>
      <c r="E28" s="8" t="s">
        <v>61</v>
      </c>
      <c r="F28" s="8">
        <v>123</v>
      </c>
      <c r="G28" s="8" t="s">
        <v>496</v>
      </c>
      <c r="H28" s="8">
        <v>27051041</v>
      </c>
      <c r="I28" s="8" t="s">
        <v>501</v>
      </c>
      <c r="J28" s="8" t="s">
        <v>440</v>
      </c>
      <c r="K28" s="8" t="s">
        <v>423</v>
      </c>
      <c r="L28" s="8" t="s">
        <v>414</v>
      </c>
      <c r="M28" s="8" t="s">
        <v>64</v>
      </c>
      <c r="N28" s="8">
        <v>11</v>
      </c>
      <c r="O28" s="8" t="s">
        <v>469</v>
      </c>
      <c r="P28" s="8" t="s">
        <v>49</v>
      </c>
      <c r="Q28" s="10" t="s">
        <v>502</v>
      </c>
      <c r="R28" s="11">
        <v>67777795</v>
      </c>
      <c r="S28" s="11">
        <v>1461000</v>
      </c>
      <c r="T28" s="11">
        <v>64603412</v>
      </c>
      <c r="U28" s="11">
        <v>86077800</v>
      </c>
      <c r="V28" s="12" t="s">
        <v>471</v>
      </c>
      <c r="W28" s="11">
        <v>0</v>
      </c>
      <c r="X28" s="11">
        <v>576111</v>
      </c>
      <c r="Y28" s="11">
        <f t="shared" si="5"/>
        <v>576111</v>
      </c>
      <c r="Z28" s="1">
        <f>+X28/R28</f>
        <v>8.4999962008206371E-3</v>
      </c>
      <c r="AA28" s="13"/>
      <c r="AB28" s="10" t="s">
        <v>412</v>
      </c>
    </row>
    <row r="29" spans="1:28" ht="15.75" customHeight="1" x14ac:dyDescent="0.25">
      <c r="A29" s="8" t="s">
        <v>401</v>
      </c>
      <c r="B29" s="8" t="s">
        <v>402</v>
      </c>
      <c r="C29" s="9" t="s">
        <v>403</v>
      </c>
      <c r="D29" s="8" t="s">
        <v>2</v>
      </c>
      <c r="E29" s="8" t="s">
        <v>61</v>
      </c>
      <c r="F29" s="8">
        <v>123</v>
      </c>
      <c r="G29" s="8" t="s">
        <v>404</v>
      </c>
      <c r="H29" s="8">
        <v>27062073</v>
      </c>
      <c r="I29" s="8" t="s">
        <v>503</v>
      </c>
      <c r="J29" s="8" t="s">
        <v>428</v>
      </c>
      <c r="K29" s="8" t="s">
        <v>407</v>
      </c>
      <c r="L29" s="8" t="s">
        <v>415</v>
      </c>
      <c r="M29" s="8" t="s">
        <v>71</v>
      </c>
      <c r="N29" s="8">
        <v>11</v>
      </c>
      <c r="O29" s="8" t="s">
        <v>429</v>
      </c>
      <c r="P29" s="8" t="s">
        <v>27</v>
      </c>
      <c r="Q29" s="10" t="s">
        <v>504</v>
      </c>
      <c r="R29" s="11">
        <v>45661417</v>
      </c>
      <c r="S29" s="11">
        <v>667200</v>
      </c>
      <c r="T29" s="11">
        <v>41856299</v>
      </c>
      <c r="U29" s="11">
        <v>57990000</v>
      </c>
      <c r="V29" s="12" t="s">
        <v>411</v>
      </c>
      <c r="W29" s="11">
        <v>9990000</v>
      </c>
      <c r="X29" s="11">
        <v>388122</v>
      </c>
      <c r="Y29" s="11">
        <v>0</v>
      </c>
      <c r="Z29" s="1">
        <f>+X29/R29</f>
        <v>8.4999990254354136E-3</v>
      </c>
      <c r="AA29" s="13"/>
      <c r="AB29" s="10" t="s">
        <v>412</v>
      </c>
    </row>
    <row r="30" spans="1:28" ht="15.75" customHeight="1" x14ac:dyDescent="0.25">
      <c r="A30" s="8" t="s">
        <v>401</v>
      </c>
      <c r="B30" s="8" t="s">
        <v>402</v>
      </c>
      <c r="C30" s="9" t="s">
        <v>403</v>
      </c>
      <c r="D30" s="8" t="s">
        <v>2</v>
      </c>
      <c r="E30" s="8" t="s">
        <v>61</v>
      </c>
      <c r="F30" s="8">
        <v>123</v>
      </c>
      <c r="G30" s="8" t="s">
        <v>505</v>
      </c>
      <c r="H30" s="8">
        <v>27062147</v>
      </c>
      <c r="I30" s="8" t="s">
        <v>506</v>
      </c>
      <c r="J30" s="8" t="s">
        <v>456</v>
      </c>
      <c r="K30" s="8" t="s">
        <v>407</v>
      </c>
      <c r="L30" s="8" t="s">
        <v>457</v>
      </c>
      <c r="M30" s="8" t="s">
        <v>70</v>
      </c>
      <c r="N30" s="8">
        <v>11</v>
      </c>
      <c r="O30" s="8" t="s">
        <v>429</v>
      </c>
      <c r="P30" s="8" t="s">
        <v>27</v>
      </c>
      <c r="Q30" s="10" t="s">
        <v>507</v>
      </c>
      <c r="R30" s="11">
        <v>44291575</v>
      </c>
      <c r="S30" s="11">
        <v>667200</v>
      </c>
      <c r="T30" s="11">
        <v>41856299</v>
      </c>
      <c r="U30" s="11">
        <v>56250300</v>
      </c>
      <c r="V30" s="12" t="s">
        <v>471</v>
      </c>
      <c r="W30" s="11">
        <v>931400</v>
      </c>
      <c r="X30" s="11">
        <v>376478</v>
      </c>
      <c r="Y30" s="11">
        <v>0</v>
      </c>
      <c r="Z30" s="1">
        <f>+X30/R30</f>
        <v>8.49999125115781E-3</v>
      </c>
      <c r="AA30" s="13"/>
      <c r="AB30" s="10" t="s">
        <v>412</v>
      </c>
    </row>
    <row r="31" spans="1:28" ht="15.75" customHeight="1" x14ac:dyDescent="0.25">
      <c r="A31" s="8" t="s">
        <v>401</v>
      </c>
      <c r="B31" s="8" t="s">
        <v>402</v>
      </c>
      <c r="C31" s="9" t="s">
        <v>403</v>
      </c>
      <c r="D31" s="8" t="s">
        <v>2</v>
      </c>
      <c r="E31" s="8" t="s">
        <v>61</v>
      </c>
      <c r="F31" s="8">
        <v>123</v>
      </c>
      <c r="G31" s="8" t="s">
        <v>496</v>
      </c>
      <c r="H31" s="8">
        <v>27070811</v>
      </c>
      <c r="I31" s="8" t="s">
        <v>508</v>
      </c>
      <c r="J31" s="8" t="s">
        <v>456</v>
      </c>
      <c r="K31" s="8" t="s">
        <v>407</v>
      </c>
      <c r="L31" s="8" t="s">
        <v>415</v>
      </c>
      <c r="M31" s="8" t="s">
        <v>72</v>
      </c>
      <c r="N31" s="8">
        <v>11</v>
      </c>
      <c r="O31" s="8" t="s">
        <v>458</v>
      </c>
      <c r="P31" s="8" t="s">
        <v>43</v>
      </c>
      <c r="Q31" s="10" t="s">
        <v>509</v>
      </c>
      <c r="R31" s="11">
        <v>51763780</v>
      </c>
      <c r="S31" s="11">
        <v>667200</v>
      </c>
      <c r="T31" s="11">
        <v>46908793</v>
      </c>
      <c r="U31" s="11">
        <v>65740001</v>
      </c>
      <c r="V31" s="12" t="s">
        <v>417</v>
      </c>
      <c r="W31" s="11">
        <v>12496161</v>
      </c>
      <c r="X31" s="11">
        <v>439992</v>
      </c>
      <c r="Y31" s="11">
        <v>0</v>
      </c>
      <c r="Z31" s="1">
        <f>+X31/R31</f>
        <v>8.4999974885914438E-3</v>
      </c>
      <c r="AA31" s="13"/>
      <c r="AB31" s="10" t="s">
        <v>412</v>
      </c>
    </row>
    <row r="32" spans="1:28" ht="15.75" customHeight="1" x14ac:dyDescent="0.25">
      <c r="A32" s="8" t="s">
        <v>401</v>
      </c>
      <c r="B32" s="8" t="s">
        <v>402</v>
      </c>
      <c r="C32" s="9" t="s">
        <v>403</v>
      </c>
      <c r="D32" s="8" t="s">
        <v>2</v>
      </c>
      <c r="E32" s="8" t="s">
        <v>61</v>
      </c>
      <c r="F32" s="8">
        <v>123</v>
      </c>
      <c r="G32" s="8" t="s">
        <v>510</v>
      </c>
      <c r="H32" s="8">
        <v>27044041</v>
      </c>
      <c r="I32" s="8" t="s">
        <v>511</v>
      </c>
      <c r="J32" s="8" t="s">
        <v>490</v>
      </c>
      <c r="K32" s="8" t="s">
        <v>440</v>
      </c>
      <c r="L32" s="8" t="s">
        <v>452</v>
      </c>
      <c r="M32" s="8" t="s">
        <v>69</v>
      </c>
      <c r="N32" s="8">
        <v>11</v>
      </c>
      <c r="O32" s="8" t="s">
        <v>512</v>
      </c>
      <c r="P32" s="8" t="s">
        <v>68</v>
      </c>
      <c r="Q32" s="10" t="s">
        <v>513</v>
      </c>
      <c r="R32" s="11">
        <v>127245664</v>
      </c>
      <c r="S32" s="11">
        <v>2054000</v>
      </c>
      <c r="T32" s="11">
        <v>125832743</v>
      </c>
      <c r="U32" s="11">
        <v>143787600</v>
      </c>
      <c r="V32" s="12" t="s">
        <v>437</v>
      </c>
      <c r="W32" s="11">
        <v>0</v>
      </c>
      <c r="X32" s="11">
        <v>1081588</v>
      </c>
      <c r="Y32" s="11">
        <f t="shared" ref="Y32:Y33" si="6">+X32</f>
        <v>1081588</v>
      </c>
      <c r="Z32" s="1">
        <f>+X32/R32</f>
        <v>8.4999988683307909E-3</v>
      </c>
      <c r="AA32" s="13"/>
      <c r="AB32" s="10" t="s">
        <v>412</v>
      </c>
    </row>
    <row r="33" spans="1:28" ht="15.75" customHeight="1" x14ac:dyDescent="0.25">
      <c r="A33" s="8" t="s">
        <v>401</v>
      </c>
      <c r="B33" s="8" t="s">
        <v>402</v>
      </c>
      <c r="C33" s="9" t="s">
        <v>403</v>
      </c>
      <c r="D33" s="8" t="s">
        <v>2</v>
      </c>
      <c r="E33" s="8" t="s">
        <v>61</v>
      </c>
      <c r="F33" s="8">
        <v>123</v>
      </c>
      <c r="G33" s="8" t="s">
        <v>404</v>
      </c>
      <c r="H33" s="8">
        <v>27067099</v>
      </c>
      <c r="I33" s="8" t="s">
        <v>514</v>
      </c>
      <c r="J33" s="8" t="s">
        <v>456</v>
      </c>
      <c r="K33" s="8" t="s">
        <v>498</v>
      </c>
      <c r="L33" s="8" t="s">
        <v>415</v>
      </c>
      <c r="M33" s="8" t="s">
        <v>74</v>
      </c>
      <c r="N33" s="8">
        <v>11</v>
      </c>
      <c r="O33" s="8" t="s">
        <v>441</v>
      </c>
      <c r="P33" s="8" t="s">
        <v>30</v>
      </c>
      <c r="Q33" s="10" t="s">
        <v>515</v>
      </c>
      <c r="R33" s="11">
        <v>134448142</v>
      </c>
      <c r="S33" s="11">
        <v>951200</v>
      </c>
      <c r="T33" s="11">
        <v>127425664</v>
      </c>
      <c r="U33" s="11">
        <v>151926400</v>
      </c>
      <c r="V33" s="12" t="s">
        <v>471</v>
      </c>
      <c r="W33" s="11">
        <v>0</v>
      </c>
      <c r="X33" s="11">
        <v>1142809</v>
      </c>
      <c r="Y33" s="11">
        <f t="shared" si="6"/>
        <v>1142809</v>
      </c>
      <c r="Z33" s="1">
        <f>+X33/R33</f>
        <v>8.499998460372922E-3</v>
      </c>
      <c r="AA33" s="13"/>
      <c r="AB33" s="10" t="s">
        <v>412</v>
      </c>
    </row>
    <row r="34" spans="1:28" ht="15.75" customHeight="1" x14ac:dyDescent="0.25">
      <c r="A34" s="8" t="s">
        <v>401</v>
      </c>
      <c r="B34" s="8" t="s">
        <v>402</v>
      </c>
      <c r="C34" s="9" t="s">
        <v>403</v>
      </c>
      <c r="D34" s="8" t="s">
        <v>2</v>
      </c>
      <c r="E34" s="8" t="s">
        <v>61</v>
      </c>
      <c r="F34" s="8">
        <v>123</v>
      </c>
      <c r="G34" s="8" t="s">
        <v>404</v>
      </c>
      <c r="H34" s="8">
        <v>27078022</v>
      </c>
      <c r="I34" s="8" t="s">
        <v>516</v>
      </c>
      <c r="J34" s="8" t="s">
        <v>457</v>
      </c>
      <c r="K34" s="8" t="s">
        <v>407</v>
      </c>
      <c r="L34" s="8" t="s">
        <v>415</v>
      </c>
      <c r="M34" s="8" t="s">
        <v>73</v>
      </c>
      <c r="N34" s="8">
        <v>11</v>
      </c>
      <c r="O34" s="8" t="s">
        <v>441</v>
      </c>
      <c r="P34" s="8" t="s">
        <v>30</v>
      </c>
      <c r="Q34" s="10" t="s">
        <v>517</v>
      </c>
      <c r="R34" s="11">
        <v>134448142</v>
      </c>
      <c r="S34" s="11">
        <v>781200</v>
      </c>
      <c r="T34" s="11">
        <v>121850442</v>
      </c>
      <c r="U34" s="11">
        <v>151926400</v>
      </c>
      <c r="V34" s="12" t="s">
        <v>417</v>
      </c>
      <c r="W34" s="11">
        <v>0</v>
      </c>
      <c r="X34" s="11">
        <v>1142809</v>
      </c>
      <c r="Y34" s="11">
        <f>+X34/2</f>
        <v>571404.5</v>
      </c>
      <c r="Z34" s="1">
        <f>+X34/R34</f>
        <v>8.499998460372922E-3</v>
      </c>
      <c r="AA34" s="13"/>
      <c r="AB34" s="10" t="s">
        <v>518</v>
      </c>
    </row>
    <row r="35" spans="1:28" ht="15.75" customHeight="1" x14ac:dyDescent="0.25">
      <c r="A35" s="8" t="s">
        <v>401</v>
      </c>
      <c r="B35" s="8" t="s">
        <v>402</v>
      </c>
      <c r="C35" s="9" t="s">
        <v>403</v>
      </c>
      <c r="D35" s="8" t="s">
        <v>2</v>
      </c>
      <c r="E35" s="8" t="s">
        <v>76</v>
      </c>
      <c r="F35" s="8">
        <v>1075</v>
      </c>
      <c r="G35" s="8" t="s">
        <v>519</v>
      </c>
      <c r="H35" s="8">
        <v>27078092</v>
      </c>
      <c r="I35" s="8" t="s">
        <v>520</v>
      </c>
      <c r="J35" s="8" t="s">
        <v>414</v>
      </c>
      <c r="K35" s="8" t="s">
        <v>407</v>
      </c>
      <c r="L35" s="8" t="s">
        <v>414</v>
      </c>
      <c r="M35" s="8" t="s">
        <v>80</v>
      </c>
      <c r="N35" s="8">
        <v>6</v>
      </c>
      <c r="O35" s="8" t="s">
        <v>521</v>
      </c>
      <c r="P35" s="8" t="s">
        <v>79</v>
      </c>
      <c r="Q35" s="10" t="s">
        <v>522</v>
      </c>
      <c r="R35" s="11">
        <v>62984252</v>
      </c>
      <c r="S35" s="11">
        <v>1784000</v>
      </c>
      <c r="T35" s="11">
        <v>57385564</v>
      </c>
      <c r="U35" s="11">
        <v>79990000</v>
      </c>
      <c r="V35" s="12" t="s">
        <v>417</v>
      </c>
      <c r="W35" s="11">
        <v>1990000</v>
      </c>
      <c r="X35" s="11">
        <v>440890</v>
      </c>
      <c r="Y35" s="11">
        <v>0</v>
      </c>
      <c r="Z35" s="1">
        <f>+X35/R35</f>
        <v>7.0000037469683694E-3</v>
      </c>
      <c r="AA35" s="13"/>
      <c r="AB35" s="10" t="s">
        <v>412</v>
      </c>
    </row>
    <row r="36" spans="1:28" ht="15.75" customHeight="1" x14ac:dyDescent="0.25">
      <c r="A36" s="8" t="s">
        <v>401</v>
      </c>
      <c r="B36" s="8" t="s">
        <v>402</v>
      </c>
      <c r="C36" s="9" t="s">
        <v>403</v>
      </c>
      <c r="D36" s="8" t="s">
        <v>2</v>
      </c>
      <c r="E36" s="8" t="s">
        <v>76</v>
      </c>
      <c r="F36" s="8">
        <v>1075</v>
      </c>
      <c r="G36" s="8" t="s">
        <v>404</v>
      </c>
      <c r="H36" s="8">
        <v>27045802</v>
      </c>
      <c r="I36" s="8" t="s">
        <v>523</v>
      </c>
      <c r="J36" s="8" t="s">
        <v>457</v>
      </c>
      <c r="K36" s="8" t="s">
        <v>407</v>
      </c>
      <c r="L36" s="8" t="s">
        <v>415</v>
      </c>
      <c r="M36" s="8" t="s">
        <v>77</v>
      </c>
      <c r="N36" s="8">
        <v>6</v>
      </c>
      <c r="O36" s="8" t="s">
        <v>466</v>
      </c>
      <c r="P36" s="8" t="s">
        <v>51</v>
      </c>
      <c r="Q36" s="10" t="s">
        <v>524</v>
      </c>
      <c r="R36" s="11">
        <v>63771654</v>
      </c>
      <c r="S36" s="11">
        <v>1785000</v>
      </c>
      <c r="T36" s="11">
        <v>58107349</v>
      </c>
      <c r="U36" s="11">
        <v>80990001</v>
      </c>
      <c r="V36" s="12" t="s">
        <v>417</v>
      </c>
      <c r="W36" s="11">
        <v>0</v>
      </c>
      <c r="X36" s="11">
        <v>446402</v>
      </c>
      <c r="Y36" s="11">
        <f t="shared" ref="Y36:Y37" si="7">+X36</f>
        <v>446402</v>
      </c>
      <c r="Z36" s="1">
        <f>+X36/R36</f>
        <v>7.0000066173601209E-3</v>
      </c>
      <c r="AA36" s="13"/>
      <c r="AB36" s="10" t="s">
        <v>412</v>
      </c>
    </row>
    <row r="37" spans="1:28" ht="15.75" customHeight="1" x14ac:dyDescent="0.25">
      <c r="A37" s="8" t="s">
        <v>401</v>
      </c>
      <c r="B37" s="8" t="s">
        <v>402</v>
      </c>
      <c r="C37" s="9" t="s">
        <v>403</v>
      </c>
      <c r="D37" s="8" t="s">
        <v>2</v>
      </c>
      <c r="E37" s="8" t="s">
        <v>76</v>
      </c>
      <c r="F37" s="8">
        <v>1075</v>
      </c>
      <c r="G37" s="8" t="s">
        <v>464</v>
      </c>
      <c r="H37" s="8">
        <v>27040135</v>
      </c>
      <c r="I37" s="8" t="s">
        <v>525</v>
      </c>
      <c r="J37" s="8" t="s">
        <v>439</v>
      </c>
      <c r="K37" s="8" t="s">
        <v>422</v>
      </c>
      <c r="L37" s="8" t="s">
        <v>456</v>
      </c>
      <c r="M37" s="8" t="s">
        <v>78</v>
      </c>
      <c r="N37" s="8">
        <v>6</v>
      </c>
      <c r="O37" s="8" t="s">
        <v>499</v>
      </c>
      <c r="P37" s="8" t="s">
        <v>66</v>
      </c>
      <c r="Q37" s="10" t="s">
        <v>526</v>
      </c>
      <c r="R37" s="11">
        <v>75385827</v>
      </c>
      <c r="S37" s="11">
        <v>1781000</v>
      </c>
      <c r="T37" s="11">
        <v>69655906</v>
      </c>
      <c r="U37" s="11">
        <v>95740000</v>
      </c>
      <c r="V37" s="12" t="s">
        <v>411</v>
      </c>
      <c r="W37" s="11">
        <v>0</v>
      </c>
      <c r="X37" s="11">
        <v>527701</v>
      </c>
      <c r="Y37" s="11">
        <f t="shared" si="7"/>
        <v>527701</v>
      </c>
      <c r="Z37" s="1">
        <f>+X37/R37</f>
        <v>7.0000027989346059E-3</v>
      </c>
      <c r="AA37" s="13"/>
      <c r="AB37" s="10" t="s">
        <v>412</v>
      </c>
    </row>
    <row r="38" spans="1:28" ht="15.75" customHeight="1" x14ac:dyDescent="0.25">
      <c r="A38" s="8" t="s">
        <v>401</v>
      </c>
      <c r="B38" s="8" t="s">
        <v>402</v>
      </c>
      <c r="C38" s="9" t="s">
        <v>403</v>
      </c>
      <c r="D38" s="8" t="s">
        <v>2</v>
      </c>
      <c r="E38" s="8" t="s">
        <v>76</v>
      </c>
      <c r="F38" s="8">
        <v>1075</v>
      </c>
      <c r="G38" s="8" t="s">
        <v>505</v>
      </c>
      <c r="H38" s="8">
        <v>27021427</v>
      </c>
      <c r="I38" s="8" t="s">
        <v>527</v>
      </c>
      <c r="J38" s="8" t="s">
        <v>428</v>
      </c>
      <c r="K38" s="8" t="s">
        <v>407</v>
      </c>
      <c r="L38" s="8" t="s">
        <v>428</v>
      </c>
      <c r="M38" s="8" t="s">
        <v>81</v>
      </c>
      <c r="N38" s="8">
        <v>6</v>
      </c>
      <c r="O38" s="8" t="s">
        <v>429</v>
      </c>
      <c r="P38" s="8" t="s">
        <v>27</v>
      </c>
      <c r="Q38" s="10" t="s">
        <v>528</v>
      </c>
      <c r="R38" s="11">
        <v>45661417</v>
      </c>
      <c r="S38" s="11">
        <v>667200</v>
      </c>
      <c r="T38" s="11">
        <v>41856299</v>
      </c>
      <c r="U38" s="11">
        <v>57990000</v>
      </c>
      <c r="V38" s="12" t="s">
        <v>411</v>
      </c>
      <c r="W38" s="11">
        <v>56992886</v>
      </c>
      <c r="X38" s="11">
        <v>319630</v>
      </c>
      <c r="Y38" s="11">
        <v>0</v>
      </c>
      <c r="Z38" s="1">
        <f>+X38/R38</f>
        <v>7.0000017739265518E-3</v>
      </c>
      <c r="AA38" s="13"/>
      <c r="AB38" s="10" t="s">
        <v>412</v>
      </c>
    </row>
    <row r="39" spans="1:28" ht="15.75" customHeight="1" x14ac:dyDescent="0.25">
      <c r="A39" s="8" t="s">
        <v>401</v>
      </c>
      <c r="B39" s="8" t="s">
        <v>402</v>
      </c>
      <c r="C39" s="9" t="s">
        <v>403</v>
      </c>
      <c r="D39" s="8" t="s">
        <v>2</v>
      </c>
      <c r="E39" s="8" t="s">
        <v>76</v>
      </c>
      <c r="F39" s="8">
        <v>1075</v>
      </c>
      <c r="G39" s="8" t="s">
        <v>529</v>
      </c>
      <c r="H39" s="8">
        <v>27046632</v>
      </c>
      <c r="I39" s="8" t="s">
        <v>530</v>
      </c>
      <c r="J39" s="8" t="s">
        <v>456</v>
      </c>
      <c r="K39" s="8" t="s">
        <v>407</v>
      </c>
      <c r="L39" s="8" t="s">
        <v>415</v>
      </c>
      <c r="M39" s="8" t="s">
        <v>82</v>
      </c>
      <c r="N39" s="8">
        <v>6</v>
      </c>
      <c r="O39" s="8" t="s">
        <v>458</v>
      </c>
      <c r="P39" s="8" t="s">
        <v>43</v>
      </c>
      <c r="Q39" s="10" t="s">
        <v>531</v>
      </c>
      <c r="R39" s="11">
        <v>51763780</v>
      </c>
      <c r="S39" s="11">
        <v>668200</v>
      </c>
      <c r="T39" s="11">
        <v>46908793</v>
      </c>
      <c r="U39" s="11">
        <v>65740001</v>
      </c>
      <c r="V39" s="12" t="s">
        <v>417</v>
      </c>
      <c r="W39" s="11">
        <v>2800301</v>
      </c>
      <c r="X39" s="11">
        <v>362346</v>
      </c>
      <c r="Y39" s="11">
        <v>0</v>
      </c>
      <c r="Z39" s="1">
        <f>+X39/R39</f>
        <v>6.9999911134774164E-3</v>
      </c>
      <c r="AA39" s="13"/>
      <c r="AB39" s="10" t="s">
        <v>412</v>
      </c>
    </row>
    <row r="40" spans="1:28" ht="15.75" customHeight="1" x14ac:dyDescent="0.25">
      <c r="A40" s="8" t="s">
        <v>401</v>
      </c>
      <c r="B40" s="8" t="s">
        <v>402</v>
      </c>
      <c r="C40" s="9" t="s">
        <v>403</v>
      </c>
      <c r="D40" s="8" t="s">
        <v>2</v>
      </c>
      <c r="E40" s="8" t="s">
        <v>76</v>
      </c>
      <c r="F40" s="8">
        <v>1075</v>
      </c>
      <c r="G40" s="8" t="s">
        <v>404</v>
      </c>
      <c r="H40" s="8">
        <v>27060946</v>
      </c>
      <c r="I40" s="8" t="s">
        <v>532</v>
      </c>
      <c r="J40" s="8" t="s">
        <v>456</v>
      </c>
      <c r="K40" s="8" t="s">
        <v>408</v>
      </c>
      <c r="L40" s="8" t="s">
        <v>414</v>
      </c>
      <c r="M40" s="8" t="s">
        <v>83</v>
      </c>
      <c r="N40" s="8">
        <v>6</v>
      </c>
      <c r="O40" s="8" t="s">
        <v>435</v>
      </c>
      <c r="P40" s="8" t="s">
        <v>32</v>
      </c>
      <c r="Q40" s="10" t="s">
        <v>533</v>
      </c>
      <c r="R40" s="11">
        <v>86506726</v>
      </c>
      <c r="S40" s="11">
        <v>1082800</v>
      </c>
      <c r="T40" s="11">
        <v>85995047</v>
      </c>
      <c r="U40" s="11">
        <v>97752600</v>
      </c>
      <c r="V40" s="12" t="s">
        <v>437</v>
      </c>
      <c r="W40" s="11">
        <v>0</v>
      </c>
      <c r="X40" s="11">
        <v>605547</v>
      </c>
      <c r="Y40" s="11">
        <f>+X40</f>
        <v>605547</v>
      </c>
      <c r="Z40" s="1">
        <f>+X40/R40</f>
        <v>6.9999990520968275E-3</v>
      </c>
      <c r="AA40" s="13"/>
      <c r="AB40" s="10" t="s">
        <v>412</v>
      </c>
    </row>
    <row r="41" spans="1:28" ht="15.75" customHeight="1" x14ac:dyDescent="0.25">
      <c r="A41" s="8" t="s">
        <v>401</v>
      </c>
      <c r="B41" s="8" t="s">
        <v>402</v>
      </c>
      <c r="C41" s="9" t="s">
        <v>534</v>
      </c>
      <c r="D41" s="8" t="s">
        <v>3</v>
      </c>
      <c r="E41" s="8" t="s">
        <v>86</v>
      </c>
      <c r="F41" s="8">
        <v>901</v>
      </c>
      <c r="G41" s="8" t="s">
        <v>404</v>
      </c>
      <c r="H41" s="8">
        <v>27085810</v>
      </c>
      <c r="I41" s="8" t="s">
        <v>535</v>
      </c>
      <c r="J41" s="8" t="s">
        <v>415</v>
      </c>
      <c r="K41" s="8" t="s">
        <v>407</v>
      </c>
      <c r="L41" s="8" t="s">
        <v>408</v>
      </c>
      <c r="M41" s="8" t="s">
        <v>91</v>
      </c>
      <c r="N41" s="8">
        <v>3</v>
      </c>
      <c r="O41" s="8" t="s">
        <v>536</v>
      </c>
      <c r="P41" s="8" t="s">
        <v>89</v>
      </c>
      <c r="Q41" s="10" t="s">
        <v>537</v>
      </c>
      <c r="R41" s="11">
        <v>89448819</v>
      </c>
      <c r="S41" s="11">
        <v>83000</v>
      </c>
      <c r="T41" s="11">
        <v>83302756</v>
      </c>
      <c r="U41" s="11">
        <v>113600000</v>
      </c>
      <c r="V41" s="12" t="s">
        <v>463</v>
      </c>
      <c r="W41" s="11">
        <v>113600000</v>
      </c>
      <c r="X41" s="11">
        <v>894488</v>
      </c>
      <c r="Y41" s="11">
        <v>0</v>
      </c>
      <c r="Z41" s="1">
        <f>+X41/R41</f>
        <v>9.9999978758802833E-3</v>
      </c>
      <c r="AA41" s="13"/>
      <c r="AB41" s="10" t="s">
        <v>412</v>
      </c>
    </row>
    <row r="42" spans="1:28" ht="15.75" customHeight="1" x14ac:dyDescent="0.25">
      <c r="A42" s="8" t="s">
        <v>401</v>
      </c>
      <c r="B42" s="8" t="s">
        <v>402</v>
      </c>
      <c r="C42" s="9" t="s">
        <v>534</v>
      </c>
      <c r="D42" s="8" t="s">
        <v>3</v>
      </c>
      <c r="E42" s="8" t="s">
        <v>86</v>
      </c>
      <c r="F42" s="8">
        <v>901</v>
      </c>
      <c r="G42" s="8" t="s">
        <v>404</v>
      </c>
      <c r="H42" s="8">
        <v>27079715</v>
      </c>
      <c r="I42" s="8" t="s">
        <v>538</v>
      </c>
      <c r="J42" s="8" t="s">
        <v>414</v>
      </c>
      <c r="K42" s="8" t="s">
        <v>407</v>
      </c>
      <c r="L42" s="8" t="s">
        <v>408</v>
      </c>
      <c r="M42" s="8" t="s">
        <v>90</v>
      </c>
      <c r="N42" s="8">
        <v>3</v>
      </c>
      <c r="O42" s="8" t="s">
        <v>536</v>
      </c>
      <c r="P42" s="8" t="s">
        <v>89</v>
      </c>
      <c r="Q42" s="10" t="s">
        <v>539</v>
      </c>
      <c r="R42" s="11">
        <v>91338583</v>
      </c>
      <c r="S42" s="11">
        <v>1605000</v>
      </c>
      <c r="T42" s="11">
        <v>83302756</v>
      </c>
      <c r="U42" s="11">
        <v>116000000</v>
      </c>
      <c r="V42" s="12" t="s">
        <v>417</v>
      </c>
      <c r="W42" s="11">
        <v>91000000</v>
      </c>
      <c r="X42" s="11">
        <v>913386</v>
      </c>
      <c r="Y42" s="11">
        <v>0</v>
      </c>
      <c r="Z42" s="1">
        <f>+X42/R42</f>
        <v>1.000000186120689E-2</v>
      </c>
      <c r="AA42" s="13"/>
      <c r="AB42" s="10" t="s">
        <v>412</v>
      </c>
    </row>
    <row r="43" spans="1:28" ht="15.75" customHeight="1" x14ac:dyDescent="0.25">
      <c r="A43" s="8" t="s">
        <v>401</v>
      </c>
      <c r="B43" s="8" t="s">
        <v>402</v>
      </c>
      <c r="C43" s="9" t="s">
        <v>534</v>
      </c>
      <c r="D43" s="8" t="s">
        <v>3</v>
      </c>
      <c r="E43" s="8" t="s">
        <v>86</v>
      </c>
      <c r="F43" s="8">
        <v>901</v>
      </c>
      <c r="G43" s="8" t="s">
        <v>404</v>
      </c>
      <c r="H43" s="8">
        <v>27032004</v>
      </c>
      <c r="I43" s="8" t="s">
        <v>540</v>
      </c>
      <c r="J43" s="8" t="s">
        <v>541</v>
      </c>
      <c r="K43" s="8" t="s">
        <v>406</v>
      </c>
      <c r="L43" s="8" t="s">
        <v>490</v>
      </c>
      <c r="M43" s="8" t="s">
        <v>88</v>
      </c>
      <c r="N43" s="8">
        <v>3</v>
      </c>
      <c r="O43" s="8" t="s">
        <v>542</v>
      </c>
      <c r="P43" s="8" t="s">
        <v>87</v>
      </c>
      <c r="Q43" s="10" t="s">
        <v>543</v>
      </c>
      <c r="R43" s="11">
        <v>95275591</v>
      </c>
      <c r="S43" s="11">
        <v>83000</v>
      </c>
      <c r="T43" s="11">
        <v>89495276</v>
      </c>
      <c r="U43" s="11">
        <v>121000001</v>
      </c>
      <c r="V43" s="12" t="s">
        <v>426</v>
      </c>
      <c r="W43" s="11">
        <v>0</v>
      </c>
      <c r="X43" s="11">
        <v>952756</v>
      </c>
      <c r="Y43" s="11">
        <f>+X43</f>
        <v>952756</v>
      </c>
      <c r="Z43" s="1">
        <f>+X43/R43</f>
        <v>1.0000000944628095E-2</v>
      </c>
      <c r="AA43" s="13"/>
      <c r="AB43" s="10" t="s">
        <v>412</v>
      </c>
    </row>
    <row r="44" spans="1:28" ht="15.75" customHeight="1" x14ac:dyDescent="0.25">
      <c r="A44" s="8" t="s">
        <v>401</v>
      </c>
      <c r="B44" s="8" t="s">
        <v>402</v>
      </c>
      <c r="C44" s="9" t="s">
        <v>403</v>
      </c>
      <c r="D44" s="8" t="s">
        <v>4</v>
      </c>
      <c r="E44" s="8" t="s">
        <v>94</v>
      </c>
      <c r="F44" s="8">
        <v>959</v>
      </c>
      <c r="G44" s="8" t="s">
        <v>404</v>
      </c>
      <c r="H44" s="8">
        <v>27085570</v>
      </c>
      <c r="I44" s="8" t="s">
        <v>544</v>
      </c>
      <c r="J44" s="8" t="s">
        <v>423</v>
      </c>
      <c r="K44" s="8" t="s">
        <v>407</v>
      </c>
      <c r="L44" s="8" t="s">
        <v>408</v>
      </c>
      <c r="M44" s="8" t="s">
        <v>98</v>
      </c>
      <c r="N44" s="8">
        <v>8</v>
      </c>
      <c r="O44" s="8" t="s">
        <v>545</v>
      </c>
      <c r="P44" s="8" t="s">
        <v>97</v>
      </c>
      <c r="Q44" s="10" t="s">
        <v>546</v>
      </c>
      <c r="R44" s="11">
        <v>66323150</v>
      </c>
      <c r="S44" s="11">
        <v>1431000</v>
      </c>
      <c r="T44" s="11">
        <v>63159842</v>
      </c>
      <c r="U44" s="11">
        <v>84230400</v>
      </c>
      <c r="V44" s="12" t="s">
        <v>471</v>
      </c>
      <c r="W44" s="11">
        <v>64949400</v>
      </c>
      <c r="X44" s="11">
        <v>563747</v>
      </c>
      <c r="Y44" s="11">
        <v>0</v>
      </c>
      <c r="Z44" s="1">
        <f>+X44/R44</f>
        <v>8.5000033924806043E-3</v>
      </c>
      <c r="AA44" s="13"/>
      <c r="AB44" s="10" t="s">
        <v>412</v>
      </c>
    </row>
    <row r="45" spans="1:28" ht="15.75" customHeight="1" x14ac:dyDescent="0.25">
      <c r="A45" s="8" t="s">
        <v>401</v>
      </c>
      <c r="B45" s="8" t="s">
        <v>402</v>
      </c>
      <c r="C45" s="9" t="s">
        <v>403</v>
      </c>
      <c r="D45" s="8" t="s">
        <v>4</v>
      </c>
      <c r="E45" s="8" t="s">
        <v>94</v>
      </c>
      <c r="F45" s="8">
        <v>959</v>
      </c>
      <c r="G45" s="8" t="s">
        <v>404</v>
      </c>
      <c r="H45" s="8">
        <v>27086441</v>
      </c>
      <c r="I45" s="8" t="s">
        <v>547</v>
      </c>
      <c r="J45" s="8" t="s">
        <v>415</v>
      </c>
      <c r="K45" s="8" t="s">
        <v>407</v>
      </c>
      <c r="L45" s="8" t="s">
        <v>408</v>
      </c>
      <c r="M45" s="8" t="s">
        <v>95</v>
      </c>
      <c r="N45" s="8">
        <v>8</v>
      </c>
      <c r="O45" s="8" t="s">
        <v>499</v>
      </c>
      <c r="P45" s="8" t="s">
        <v>66</v>
      </c>
      <c r="Q45" s="10" t="s">
        <v>548</v>
      </c>
      <c r="R45" s="11">
        <v>73878110</v>
      </c>
      <c r="S45" s="11">
        <v>1934000</v>
      </c>
      <c r="T45" s="11">
        <v>68212336</v>
      </c>
      <c r="U45" s="11">
        <v>93825200</v>
      </c>
      <c r="V45" s="12" t="s">
        <v>411</v>
      </c>
      <c r="W45" s="11">
        <v>3485200</v>
      </c>
      <c r="X45" s="11">
        <v>627964</v>
      </c>
      <c r="Y45" s="11">
        <v>0</v>
      </c>
      <c r="Z45" s="1">
        <f>+X45/R45</f>
        <v>8.5000008798275968E-3</v>
      </c>
      <c r="AA45" s="13"/>
      <c r="AB45" s="10" t="s">
        <v>518</v>
      </c>
    </row>
    <row r="46" spans="1:28" ht="15.75" customHeight="1" x14ac:dyDescent="0.25">
      <c r="A46" s="8" t="s">
        <v>401</v>
      </c>
      <c r="B46" s="8" t="s">
        <v>402</v>
      </c>
      <c r="C46" s="9" t="s">
        <v>403</v>
      </c>
      <c r="D46" s="8" t="s">
        <v>4</v>
      </c>
      <c r="E46" s="8" t="s">
        <v>94</v>
      </c>
      <c r="F46" s="8">
        <v>959</v>
      </c>
      <c r="G46" s="8" t="s">
        <v>404</v>
      </c>
      <c r="H46" s="8">
        <v>27088782</v>
      </c>
      <c r="I46" s="8" t="s">
        <v>549</v>
      </c>
      <c r="J46" s="8" t="s">
        <v>408</v>
      </c>
      <c r="K46" s="8" t="s">
        <v>407</v>
      </c>
      <c r="L46" s="8" t="s">
        <v>444</v>
      </c>
      <c r="M46" s="8" t="s">
        <v>96</v>
      </c>
      <c r="N46" s="8">
        <v>8</v>
      </c>
      <c r="O46" s="8" t="s">
        <v>499</v>
      </c>
      <c r="P46" s="8" t="s">
        <v>66</v>
      </c>
      <c r="Q46" s="10" t="s">
        <v>550</v>
      </c>
      <c r="R46" s="11">
        <v>73501181</v>
      </c>
      <c r="S46" s="11">
        <v>1604000</v>
      </c>
      <c r="T46" s="11">
        <v>68212336</v>
      </c>
      <c r="U46" s="11">
        <v>93346500</v>
      </c>
      <c r="V46" s="12" t="s">
        <v>463</v>
      </c>
      <c r="W46" s="11">
        <v>93346500</v>
      </c>
      <c r="X46" s="11">
        <v>624760</v>
      </c>
      <c r="Y46" s="11">
        <v>0</v>
      </c>
      <c r="Z46" s="1">
        <f>+X46/R46</f>
        <v>8.4999994761988922E-3</v>
      </c>
      <c r="AA46" s="13"/>
      <c r="AB46" s="10" t="s">
        <v>412</v>
      </c>
    </row>
    <row r="47" spans="1:28" ht="15.75" customHeight="1" x14ac:dyDescent="0.25">
      <c r="A47" s="8" t="s">
        <v>401</v>
      </c>
      <c r="B47" s="8" t="s">
        <v>402</v>
      </c>
      <c r="C47" s="9" t="s">
        <v>403</v>
      </c>
      <c r="D47" s="8" t="s">
        <v>4</v>
      </c>
      <c r="E47" s="8" t="s">
        <v>94</v>
      </c>
      <c r="F47" s="8">
        <v>959</v>
      </c>
      <c r="G47" s="8" t="s">
        <v>551</v>
      </c>
      <c r="H47" s="8">
        <v>26992143</v>
      </c>
      <c r="I47" s="8" t="s">
        <v>552</v>
      </c>
      <c r="J47" s="8" t="s">
        <v>428</v>
      </c>
      <c r="K47" s="8" t="s">
        <v>407</v>
      </c>
      <c r="L47" s="8" t="s">
        <v>408</v>
      </c>
      <c r="M47" s="8" t="s">
        <v>100</v>
      </c>
      <c r="N47" s="8">
        <v>8</v>
      </c>
      <c r="O47" s="8" t="s">
        <v>429</v>
      </c>
      <c r="P47" s="8" t="s">
        <v>27</v>
      </c>
      <c r="Q47" s="10" t="s">
        <v>553</v>
      </c>
      <c r="R47" s="11">
        <v>46346339</v>
      </c>
      <c r="S47" s="11">
        <v>695700</v>
      </c>
      <c r="T47" s="11">
        <v>41856299</v>
      </c>
      <c r="U47" s="11">
        <v>58859850</v>
      </c>
      <c r="V47" s="12" t="s">
        <v>554</v>
      </c>
      <c r="W47" s="11">
        <v>58859850</v>
      </c>
      <c r="X47" s="11">
        <v>393944</v>
      </c>
      <c r="Y47" s="11">
        <v>0</v>
      </c>
      <c r="Z47" s="1">
        <f>+X47/R47</f>
        <v>8.500002556836259E-3</v>
      </c>
      <c r="AA47" s="13"/>
      <c r="AB47" s="10" t="s">
        <v>412</v>
      </c>
    </row>
    <row r="48" spans="1:28" ht="15.75" customHeight="1" x14ac:dyDescent="0.25">
      <c r="A48" s="8" t="s">
        <v>401</v>
      </c>
      <c r="B48" s="8" t="s">
        <v>402</v>
      </c>
      <c r="C48" s="9" t="s">
        <v>403</v>
      </c>
      <c r="D48" s="8" t="s">
        <v>4</v>
      </c>
      <c r="E48" s="8" t="s">
        <v>94</v>
      </c>
      <c r="F48" s="8">
        <v>959</v>
      </c>
      <c r="G48" s="8" t="s">
        <v>551</v>
      </c>
      <c r="H48" s="8">
        <v>26977458</v>
      </c>
      <c r="I48" s="8" t="s">
        <v>555</v>
      </c>
      <c r="J48" s="8" t="s">
        <v>428</v>
      </c>
      <c r="K48" s="8" t="s">
        <v>407</v>
      </c>
      <c r="L48" s="8" t="s">
        <v>408</v>
      </c>
      <c r="M48" s="8" t="s">
        <v>99</v>
      </c>
      <c r="N48" s="8">
        <v>8</v>
      </c>
      <c r="O48" s="8" t="s">
        <v>429</v>
      </c>
      <c r="P48" s="8" t="s">
        <v>27</v>
      </c>
      <c r="Q48" s="10" t="s">
        <v>556</v>
      </c>
      <c r="R48" s="11">
        <v>46346339</v>
      </c>
      <c r="S48" s="11">
        <v>695700</v>
      </c>
      <c r="T48" s="11">
        <v>41856299</v>
      </c>
      <c r="U48" s="11">
        <v>58859850</v>
      </c>
      <c r="V48" s="12" t="s">
        <v>554</v>
      </c>
      <c r="W48" s="11">
        <v>58859850</v>
      </c>
      <c r="X48" s="11">
        <v>393944</v>
      </c>
      <c r="Y48" s="11">
        <v>0</v>
      </c>
      <c r="Z48" s="1">
        <f>+X48/R48</f>
        <v>8.500002556836259E-3</v>
      </c>
      <c r="AA48" s="13"/>
      <c r="AB48" s="10" t="s">
        <v>412</v>
      </c>
    </row>
    <row r="49" spans="1:28" ht="15.75" customHeight="1" x14ac:dyDescent="0.25">
      <c r="A49" s="8" t="s">
        <v>401</v>
      </c>
      <c r="B49" s="8" t="s">
        <v>402</v>
      </c>
      <c r="C49" s="9" t="s">
        <v>403</v>
      </c>
      <c r="D49" s="8" t="s">
        <v>4</v>
      </c>
      <c r="E49" s="8" t="s">
        <v>94</v>
      </c>
      <c r="F49" s="8">
        <v>959</v>
      </c>
      <c r="G49" s="8" t="s">
        <v>557</v>
      </c>
      <c r="H49" s="8">
        <v>27049082</v>
      </c>
      <c r="I49" s="8" t="s">
        <v>558</v>
      </c>
      <c r="J49" s="8" t="s">
        <v>452</v>
      </c>
      <c r="K49" s="8" t="s">
        <v>407</v>
      </c>
      <c r="L49" s="8" t="s">
        <v>414</v>
      </c>
      <c r="M49" s="8" t="s">
        <v>104</v>
      </c>
      <c r="N49" s="8">
        <v>8</v>
      </c>
      <c r="O49" s="8" t="s">
        <v>559</v>
      </c>
      <c r="P49" s="8" t="s">
        <v>103</v>
      </c>
      <c r="Q49" s="10" t="s">
        <v>560</v>
      </c>
      <c r="R49" s="11">
        <v>82070796</v>
      </c>
      <c r="S49" s="11">
        <v>1874000</v>
      </c>
      <c r="T49" s="11">
        <v>79564910</v>
      </c>
      <c r="U49" s="11">
        <v>92740000</v>
      </c>
      <c r="V49" s="12" t="s">
        <v>561</v>
      </c>
      <c r="W49" s="11">
        <v>0</v>
      </c>
      <c r="X49" s="11">
        <v>697602</v>
      </c>
      <c r="Y49" s="11">
        <f>+X49</f>
        <v>697602</v>
      </c>
      <c r="Z49" s="1">
        <f>+X49/R49</f>
        <v>8.5000028511969111E-3</v>
      </c>
      <c r="AA49" s="13"/>
      <c r="AB49" s="10" t="s">
        <v>412</v>
      </c>
    </row>
    <row r="50" spans="1:28" ht="15.75" customHeight="1" x14ac:dyDescent="0.25">
      <c r="A50" s="8" t="s">
        <v>401</v>
      </c>
      <c r="B50" s="8" t="s">
        <v>402</v>
      </c>
      <c r="C50" s="9" t="s">
        <v>403</v>
      </c>
      <c r="D50" s="8" t="s">
        <v>4</v>
      </c>
      <c r="E50" s="8" t="s">
        <v>94</v>
      </c>
      <c r="F50" s="8">
        <v>959</v>
      </c>
      <c r="G50" s="8" t="s">
        <v>551</v>
      </c>
      <c r="H50" s="8">
        <v>27048500</v>
      </c>
      <c r="I50" s="8" t="s">
        <v>562</v>
      </c>
      <c r="J50" s="8" t="s">
        <v>563</v>
      </c>
      <c r="K50" s="8" t="s">
        <v>407</v>
      </c>
      <c r="L50" s="8" t="s">
        <v>422</v>
      </c>
      <c r="M50" s="8" t="s">
        <v>105</v>
      </c>
      <c r="N50" s="8">
        <v>8</v>
      </c>
      <c r="O50" s="8" t="s">
        <v>564</v>
      </c>
      <c r="P50" s="8" t="s">
        <v>103</v>
      </c>
      <c r="Q50" s="10" t="s">
        <v>565</v>
      </c>
      <c r="R50" s="11">
        <v>90786460</v>
      </c>
      <c r="S50" s="11">
        <v>735600</v>
      </c>
      <c r="T50" s="11">
        <v>79564910</v>
      </c>
      <c r="U50" s="11">
        <v>102588700</v>
      </c>
      <c r="V50" s="12" t="s">
        <v>566</v>
      </c>
      <c r="W50" s="11">
        <v>100999700</v>
      </c>
      <c r="X50" s="11">
        <v>771685</v>
      </c>
      <c r="Y50" s="11">
        <v>0</v>
      </c>
      <c r="Z50" s="1">
        <f>+X50/R50</f>
        <v>8.5000009913372542E-3</v>
      </c>
      <c r="AA50" s="13"/>
      <c r="AB50" s="10" t="s">
        <v>412</v>
      </c>
    </row>
    <row r="51" spans="1:28" ht="15.75" customHeight="1" x14ac:dyDescent="0.25">
      <c r="A51" s="8" t="s">
        <v>401</v>
      </c>
      <c r="B51" s="8" t="s">
        <v>402</v>
      </c>
      <c r="C51" s="9" t="s">
        <v>403</v>
      </c>
      <c r="D51" s="8" t="s">
        <v>4</v>
      </c>
      <c r="E51" s="8" t="s">
        <v>94</v>
      </c>
      <c r="F51" s="8">
        <v>959</v>
      </c>
      <c r="G51" s="8" t="s">
        <v>404</v>
      </c>
      <c r="H51" s="8">
        <v>27031329</v>
      </c>
      <c r="I51" s="8" t="s">
        <v>567</v>
      </c>
      <c r="J51" s="8" t="s">
        <v>541</v>
      </c>
      <c r="K51" s="8" t="s">
        <v>407</v>
      </c>
      <c r="L51" s="8" t="s">
        <v>422</v>
      </c>
      <c r="M51" s="8" t="s">
        <v>102</v>
      </c>
      <c r="N51" s="8">
        <v>8</v>
      </c>
      <c r="O51" s="8" t="s">
        <v>568</v>
      </c>
      <c r="P51" s="8" t="s">
        <v>101</v>
      </c>
      <c r="Q51" s="10" t="s">
        <v>569</v>
      </c>
      <c r="R51" s="11">
        <v>155447080</v>
      </c>
      <c r="S51" s="11">
        <v>798300</v>
      </c>
      <c r="T51" s="11">
        <v>141761947</v>
      </c>
      <c r="U51" s="11">
        <v>175655200</v>
      </c>
      <c r="V51" s="12" t="s">
        <v>417</v>
      </c>
      <c r="W51" s="11">
        <v>0</v>
      </c>
      <c r="X51" s="11">
        <v>1321300</v>
      </c>
      <c r="Y51" s="11">
        <f t="shared" ref="Y51:Y52" si="8">+X51</f>
        <v>1321300</v>
      </c>
      <c r="Z51" s="1">
        <f>+X51/R51</f>
        <v>8.4999988420496539E-3</v>
      </c>
      <c r="AA51" s="13"/>
      <c r="AB51" s="10" t="s">
        <v>412</v>
      </c>
    </row>
    <row r="52" spans="1:28" ht="15.75" customHeight="1" x14ac:dyDescent="0.25">
      <c r="A52" s="8" t="s">
        <v>401</v>
      </c>
      <c r="B52" s="8" t="s">
        <v>402</v>
      </c>
      <c r="C52" s="9" t="s">
        <v>403</v>
      </c>
      <c r="D52" s="8" t="s">
        <v>4</v>
      </c>
      <c r="E52" s="8" t="s">
        <v>107</v>
      </c>
      <c r="F52" s="8">
        <v>964</v>
      </c>
      <c r="G52" s="8" t="s">
        <v>496</v>
      </c>
      <c r="H52" s="8">
        <v>27024711</v>
      </c>
      <c r="I52" s="8" t="s">
        <v>570</v>
      </c>
      <c r="J52" s="8" t="s">
        <v>571</v>
      </c>
      <c r="K52" s="8" t="s">
        <v>434</v>
      </c>
      <c r="L52" s="8" t="s">
        <v>490</v>
      </c>
      <c r="M52" s="8" t="s">
        <v>109</v>
      </c>
      <c r="N52" s="8">
        <v>1</v>
      </c>
      <c r="O52" s="8" t="s">
        <v>572</v>
      </c>
      <c r="P52" s="8" t="s">
        <v>108</v>
      </c>
      <c r="Q52" s="10" t="s">
        <v>573</v>
      </c>
      <c r="R52" s="11">
        <v>87196850</v>
      </c>
      <c r="S52" s="11">
        <v>2485800</v>
      </c>
      <c r="T52" s="11">
        <v>81554462</v>
      </c>
      <c r="U52" s="11">
        <v>110740000</v>
      </c>
      <c r="V52" s="12" t="s">
        <v>426</v>
      </c>
      <c r="W52" s="11">
        <v>0</v>
      </c>
      <c r="X52" s="11">
        <v>435984</v>
      </c>
      <c r="Y52" s="11">
        <f t="shared" si="8"/>
        <v>435984</v>
      </c>
      <c r="Z52" s="1">
        <f>+X52/R52</f>
        <v>4.999997132923953E-3</v>
      </c>
      <c r="AA52" s="13"/>
      <c r="AB52" s="10" t="s">
        <v>412</v>
      </c>
    </row>
    <row r="53" spans="1:28" ht="15.75" customHeight="1" x14ac:dyDescent="0.25">
      <c r="A53" s="8" t="s">
        <v>401</v>
      </c>
      <c r="B53" s="8" t="s">
        <v>402</v>
      </c>
      <c r="C53" s="9" t="s">
        <v>403</v>
      </c>
      <c r="D53" s="8" t="s">
        <v>4</v>
      </c>
      <c r="E53" s="8" t="s">
        <v>111</v>
      </c>
      <c r="F53" s="8">
        <v>907</v>
      </c>
      <c r="G53" s="8" t="s">
        <v>551</v>
      </c>
      <c r="H53" s="8">
        <v>27057622</v>
      </c>
      <c r="I53" s="8" t="s">
        <v>574</v>
      </c>
      <c r="J53" s="8" t="s">
        <v>414</v>
      </c>
      <c r="K53" s="8" t="s">
        <v>407</v>
      </c>
      <c r="L53" s="8" t="s">
        <v>408</v>
      </c>
      <c r="M53" s="8" t="s">
        <v>112</v>
      </c>
      <c r="N53" s="8">
        <v>3</v>
      </c>
      <c r="O53" s="8" t="s">
        <v>409</v>
      </c>
      <c r="P53" s="8" t="s">
        <v>21</v>
      </c>
      <c r="Q53" s="10" t="s">
        <v>575</v>
      </c>
      <c r="R53" s="11">
        <v>85307953</v>
      </c>
      <c r="S53" s="11">
        <v>1464000</v>
      </c>
      <c r="T53" s="11">
        <v>76151969</v>
      </c>
      <c r="U53" s="11">
        <v>108341100</v>
      </c>
      <c r="V53" s="14" t="s">
        <v>576</v>
      </c>
      <c r="W53" s="11">
        <v>79950000</v>
      </c>
      <c r="X53" s="11">
        <f>+R53*0.45%</f>
        <v>383885.78850000002</v>
      </c>
      <c r="Y53" s="11">
        <v>0</v>
      </c>
      <c r="Z53" s="1">
        <f>+X53/R53</f>
        <v>4.5000000000000005E-3</v>
      </c>
      <c r="AA53" s="13"/>
      <c r="AB53" s="10" t="s">
        <v>412</v>
      </c>
    </row>
    <row r="54" spans="1:28" ht="15.75" customHeight="1" x14ac:dyDescent="0.25">
      <c r="A54" s="8" t="s">
        <v>401</v>
      </c>
      <c r="B54" s="8" t="s">
        <v>402</v>
      </c>
      <c r="C54" s="9" t="s">
        <v>403</v>
      </c>
      <c r="D54" s="8" t="s">
        <v>4</v>
      </c>
      <c r="E54" s="8" t="s">
        <v>111</v>
      </c>
      <c r="F54" s="8">
        <v>907</v>
      </c>
      <c r="G54" s="8" t="s">
        <v>577</v>
      </c>
      <c r="H54" s="8">
        <v>23154113</v>
      </c>
      <c r="I54" s="8" t="s">
        <v>578</v>
      </c>
      <c r="J54" s="8" t="s">
        <v>428</v>
      </c>
      <c r="K54" s="8" t="s">
        <v>407</v>
      </c>
      <c r="L54" s="8" t="s">
        <v>415</v>
      </c>
      <c r="M54" s="8" t="s">
        <v>113</v>
      </c>
      <c r="N54" s="8">
        <v>3</v>
      </c>
      <c r="O54" s="8" t="s">
        <v>429</v>
      </c>
      <c r="P54" s="8" t="s">
        <v>27</v>
      </c>
      <c r="Q54" s="10" t="s">
        <v>579</v>
      </c>
      <c r="R54" s="11">
        <v>45661417</v>
      </c>
      <c r="S54" s="11">
        <v>695700</v>
      </c>
      <c r="T54" s="11">
        <v>41856299</v>
      </c>
      <c r="U54" s="11">
        <v>57990000</v>
      </c>
      <c r="V54" s="14" t="s">
        <v>411</v>
      </c>
      <c r="W54" s="11">
        <v>140454</v>
      </c>
      <c r="X54" s="11">
        <f>+R54*0.45%</f>
        <v>205476.37650000001</v>
      </c>
      <c r="Y54" s="11">
        <v>0</v>
      </c>
      <c r="Z54" s="1">
        <f>+X54/R54</f>
        <v>4.5000000000000005E-3</v>
      </c>
      <c r="AA54" s="13"/>
      <c r="AB54" s="10" t="s">
        <v>412</v>
      </c>
    </row>
    <row r="55" spans="1:28" ht="15.75" customHeight="1" x14ac:dyDescent="0.25">
      <c r="A55" s="8" t="s">
        <v>401</v>
      </c>
      <c r="B55" s="8" t="s">
        <v>402</v>
      </c>
      <c r="C55" s="9" t="s">
        <v>403</v>
      </c>
      <c r="D55" s="8" t="s">
        <v>4</v>
      </c>
      <c r="E55" s="8" t="s">
        <v>111</v>
      </c>
      <c r="F55" s="8">
        <v>907</v>
      </c>
      <c r="G55" s="8" t="s">
        <v>577</v>
      </c>
      <c r="H55" s="8">
        <v>27087442</v>
      </c>
      <c r="I55" s="8" t="s">
        <v>580</v>
      </c>
      <c r="J55" s="8" t="s">
        <v>415</v>
      </c>
      <c r="K55" s="8" t="s">
        <v>407</v>
      </c>
      <c r="L55" s="8" t="s">
        <v>444</v>
      </c>
      <c r="M55" s="8" t="s">
        <v>114</v>
      </c>
      <c r="N55" s="8">
        <v>3</v>
      </c>
      <c r="O55" s="8" t="s">
        <v>435</v>
      </c>
      <c r="P55" s="8" t="s">
        <v>32</v>
      </c>
      <c r="Q55" s="10" t="s">
        <v>581</v>
      </c>
      <c r="R55" s="11">
        <v>87380531</v>
      </c>
      <c r="S55" s="11">
        <v>781200</v>
      </c>
      <c r="T55" s="11">
        <v>78761143</v>
      </c>
      <c r="U55" s="11">
        <v>98740000</v>
      </c>
      <c r="V55" s="14" t="s">
        <v>554</v>
      </c>
      <c r="W55" s="11">
        <v>63740000</v>
      </c>
      <c r="X55" s="11">
        <f>+R55*0.45%</f>
        <v>393212.38950000005</v>
      </c>
      <c r="Y55" s="11">
        <v>0</v>
      </c>
      <c r="Z55" s="1">
        <f>+X55/R55</f>
        <v>4.5000000000000005E-3</v>
      </c>
      <c r="AA55" s="13"/>
      <c r="AB55" s="10" t="s">
        <v>412</v>
      </c>
    </row>
    <row r="56" spans="1:28" ht="15.75" customHeight="1" x14ac:dyDescent="0.25">
      <c r="A56" s="8" t="s">
        <v>401</v>
      </c>
      <c r="B56" s="8" t="s">
        <v>402</v>
      </c>
      <c r="C56" s="9" t="s">
        <v>403</v>
      </c>
      <c r="D56" s="8" t="s">
        <v>4</v>
      </c>
      <c r="E56" s="8" t="s">
        <v>116</v>
      </c>
      <c r="F56" s="8">
        <v>1086</v>
      </c>
      <c r="G56" s="8" t="s">
        <v>496</v>
      </c>
      <c r="H56" s="8">
        <v>27074337</v>
      </c>
      <c r="I56" s="8" t="s">
        <v>582</v>
      </c>
      <c r="J56" s="8" t="s">
        <v>457</v>
      </c>
      <c r="K56" s="8" t="s">
        <v>407</v>
      </c>
      <c r="L56" s="8" t="s">
        <v>408</v>
      </c>
      <c r="M56" s="8" t="s">
        <v>117</v>
      </c>
      <c r="N56" s="8">
        <v>2</v>
      </c>
      <c r="O56" s="8" t="s">
        <v>499</v>
      </c>
      <c r="P56" s="8" t="s">
        <v>66</v>
      </c>
      <c r="Q56" s="10" t="s">
        <v>583</v>
      </c>
      <c r="R56" s="11">
        <v>75385827</v>
      </c>
      <c r="S56" s="11">
        <v>2054000</v>
      </c>
      <c r="T56" s="11">
        <v>68212336</v>
      </c>
      <c r="U56" s="11">
        <v>95740000</v>
      </c>
      <c r="V56" s="12" t="s">
        <v>554</v>
      </c>
      <c r="W56" s="11">
        <v>0</v>
      </c>
      <c r="X56" s="11">
        <f>+R56*0.5%</f>
        <v>376929.13500000001</v>
      </c>
      <c r="Y56" s="11">
        <f>+X56</f>
        <v>376929.13500000001</v>
      </c>
      <c r="Z56" s="1">
        <f>+X56/R56</f>
        <v>5.0000000000000001E-3</v>
      </c>
      <c r="AA56" s="13"/>
      <c r="AB56" s="10" t="s">
        <v>412</v>
      </c>
    </row>
    <row r="57" spans="1:28" ht="15.75" customHeight="1" x14ac:dyDescent="0.25">
      <c r="A57" s="8" t="s">
        <v>401</v>
      </c>
      <c r="B57" s="8" t="s">
        <v>402</v>
      </c>
      <c r="C57" s="9" t="s">
        <v>403</v>
      </c>
      <c r="D57" s="8" t="s">
        <v>4</v>
      </c>
      <c r="E57" s="8" t="s">
        <v>116</v>
      </c>
      <c r="F57" s="8">
        <v>1086</v>
      </c>
      <c r="G57" s="8" t="s">
        <v>577</v>
      </c>
      <c r="H57" s="8">
        <v>27024477</v>
      </c>
      <c r="I57" s="8" t="s">
        <v>584</v>
      </c>
      <c r="J57" s="8" t="s">
        <v>428</v>
      </c>
      <c r="K57" s="8" t="s">
        <v>407</v>
      </c>
      <c r="L57" s="8" t="s">
        <v>415</v>
      </c>
      <c r="M57" s="8" t="s">
        <v>118</v>
      </c>
      <c r="N57" s="8">
        <v>2</v>
      </c>
      <c r="O57" s="8" t="s">
        <v>429</v>
      </c>
      <c r="P57" s="8" t="s">
        <v>27</v>
      </c>
      <c r="Q57" s="10" t="s">
        <v>585</v>
      </c>
      <c r="R57" s="11">
        <v>45661417</v>
      </c>
      <c r="S57" s="11">
        <v>695700</v>
      </c>
      <c r="T57" s="11">
        <v>41856299</v>
      </c>
      <c r="U57" s="11">
        <v>57990000</v>
      </c>
      <c r="V57" s="12" t="s">
        <v>411</v>
      </c>
      <c r="W57" s="11">
        <v>57990000</v>
      </c>
      <c r="X57" s="11">
        <f>+R57*0.5%</f>
        <v>228307.08499999999</v>
      </c>
      <c r="Y57" s="11">
        <v>0</v>
      </c>
      <c r="Z57" s="1">
        <f>+X57/R57</f>
        <v>5.0000000000000001E-3</v>
      </c>
      <c r="AA57" s="13"/>
      <c r="AB57" s="10" t="s">
        <v>412</v>
      </c>
    </row>
    <row r="58" spans="1:28" ht="15.75" customHeight="1" x14ac:dyDescent="0.25">
      <c r="A58" s="8" t="s">
        <v>401</v>
      </c>
      <c r="B58" s="8" t="s">
        <v>402</v>
      </c>
      <c r="C58" s="9" t="s">
        <v>403</v>
      </c>
      <c r="D58" s="8" t="s">
        <v>5</v>
      </c>
      <c r="E58" s="8" t="s">
        <v>121</v>
      </c>
      <c r="F58" s="8">
        <v>823</v>
      </c>
      <c r="G58" s="8" t="s">
        <v>404</v>
      </c>
      <c r="H58" s="8">
        <v>27040751</v>
      </c>
      <c r="I58" s="8" t="s">
        <v>586</v>
      </c>
      <c r="J58" s="8" t="s">
        <v>587</v>
      </c>
      <c r="K58" s="8" t="s">
        <v>588</v>
      </c>
      <c r="L58" s="8" t="s">
        <v>588</v>
      </c>
      <c r="M58" s="8" t="s">
        <v>122</v>
      </c>
      <c r="N58" s="8">
        <v>10</v>
      </c>
      <c r="O58" s="8" t="s">
        <v>409</v>
      </c>
      <c r="P58" s="8" t="s">
        <v>21</v>
      </c>
      <c r="Q58" s="10" t="s">
        <v>589</v>
      </c>
      <c r="R58" s="11">
        <v>84212598</v>
      </c>
      <c r="S58" s="11">
        <v>3090000</v>
      </c>
      <c r="T58" s="11">
        <v>77595538</v>
      </c>
      <c r="U58" s="11">
        <v>106950000</v>
      </c>
      <c r="V58" s="12" t="s">
        <v>411</v>
      </c>
      <c r="W58" s="11">
        <v>0</v>
      </c>
      <c r="X58" s="11">
        <v>715807</v>
      </c>
      <c r="Y58" s="11">
        <f>+X58</f>
        <v>715807</v>
      </c>
      <c r="Z58" s="1">
        <f>+X58/R58</f>
        <v>8.4999990143992468E-3</v>
      </c>
      <c r="AA58" s="13"/>
      <c r="AB58" s="10" t="s">
        <v>412</v>
      </c>
    </row>
    <row r="59" spans="1:28" ht="15.75" customHeight="1" x14ac:dyDescent="0.25">
      <c r="A59" s="8" t="s">
        <v>401</v>
      </c>
      <c r="B59" s="8" t="s">
        <v>402</v>
      </c>
      <c r="C59" s="9" t="s">
        <v>403</v>
      </c>
      <c r="D59" s="8" t="s">
        <v>5</v>
      </c>
      <c r="E59" s="8" t="s">
        <v>121</v>
      </c>
      <c r="F59" s="8">
        <v>823</v>
      </c>
      <c r="G59" s="8" t="s">
        <v>496</v>
      </c>
      <c r="H59" s="8">
        <v>27079031</v>
      </c>
      <c r="I59" s="8" t="s">
        <v>590</v>
      </c>
      <c r="J59" s="8" t="s">
        <v>457</v>
      </c>
      <c r="K59" s="8" t="s">
        <v>407</v>
      </c>
      <c r="L59" s="8" t="s">
        <v>408</v>
      </c>
      <c r="M59" s="8" t="s">
        <v>123</v>
      </c>
      <c r="N59" s="8">
        <v>10</v>
      </c>
      <c r="O59" s="8" t="s">
        <v>466</v>
      </c>
      <c r="P59" s="8" t="s">
        <v>51</v>
      </c>
      <c r="Q59" s="10" t="s">
        <v>591</v>
      </c>
      <c r="R59" s="11">
        <v>64566929</v>
      </c>
      <c r="S59" s="11">
        <v>1764000</v>
      </c>
      <c r="T59" s="11">
        <v>58107349</v>
      </c>
      <c r="U59" s="11">
        <v>82000000</v>
      </c>
      <c r="V59" s="12" t="s">
        <v>554</v>
      </c>
      <c r="W59" s="11">
        <v>26762000</v>
      </c>
      <c r="X59" s="11">
        <v>548819</v>
      </c>
      <c r="Y59" s="11">
        <v>0</v>
      </c>
      <c r="Z59" s="1">
        <f>+X59/R59</f>
        <v>8.5000016029878073E-3</v>
      </c>
      <c r="AA59" s="13"/>
      <c r="AB59" s="10" t="s">
        <v>412</v>
      </c>
    </row>
    <row r="60" spans="1:28" ht="15.75" customHeight="1" x14ac:dyDescent="0.25">
      <c r="A60" s="8" t="s">
        <v>401</v>
      </c>
      <c r="B60" s="8" t="s">
        <v>402</v>
      </c>
      <c r="C60" s="9" t="s">
        <v>403</v>
      </c>
      <c r="D60" s="8" t="s">
        <v>5</v>
      </c>
      <c r="E60" s="8" t="s">
        <v>121</v>
      </c>
      <c r="F60" s="8">
        <v>823</v>
      </c>
      <c r="G60" s="8" t="s">
        <v>592</v>
      </c>
      <c r="H60" s="8">
        <v>27045384</v>
      </c>
      <c r="I60" s="8" t="s">
        <v>593</v>
      </c>
      <c r="J60" s="8" t="s">
        <v>588</v>
      </c>
      <c r="K60" s="8" t="s">
        <v>407</v>
      </c>
      <c r="L60" s="8" t="s">
        <v>456</v>
      </c>
      <c r="M60" s="8" t="s">
        <v>124</v>
      </c>
      <c r="N60" s="8">
        <v>10</v>
      </c>
      <c r="O60" s="8" t="s">
        <v>499</v>
      </c>
      <c r="P60" s="8" t="s">
        <v>66</v>
      </c>
      <c r="Q60" s="10" t="s">
        <v>594</v>
      </c>
      <c r="R60" s="11">
        <v>75582677</v>
      </c>
      <c r="S60" s="11">
        <v>1691000</v>
      </c>
      <c r="T60" s="11">
        <v>68934120</v>
      </c>
      <c r="U60" s="11">
        <v>95990000</v>
      </c>
      <c r="V60" s="12" t="s">
        <v>417</v>
      </c>
      <c r="W60" s="11">
        <v>0</v>
      </c>
      <c r="X60" s="11">
        <v>642453</v>
      </c>
      <c r="Y60" s="11">
        <f>+X60/2</f>
        <v>321226.5</v>
      </c>
      <c r="Z60" s="1">
        <f>+X60/R60</f>
        <v>8.500003248098768E-3</v>
      </c>
      <c r="AA60" s="13"/>
      <c r="AB60" s="10" t="s">
        <v>518</v>
      </c>
    </row>
    <row r="61" spans="1:28" ht="15.75" customHeight="1" x14ac:dyDescent="0.25">
      <c r="A61" s="8" t="s">
        <v>401</v>
      </c>
      <c r="B61" s="8" t="s">
        <v>402</v>
      </c>
      <c r="C61" s="9" t="s">
        <v>403</v>
      </c>
      <c r="D61" s="8" t="s">
        <v>5</v>
      </c>
      <c r="E61" s="8" t="s">
        <v>121</v>
      </c>
      <c r="F61" s="8">
        <v>823</v>
      </c>
      <c r="G61" s="8" t="s">
        <v>404</v>
      </c>
      <c r="H61" s="8">
        <v>26998177</v>
      </c>
      <c r="I61" s="8" t="s">
        <v>595</v>
      </c>
      <c r="J61" s="8" t="s">
        <v>414</v>
      </c>
      <c r="K61" s="8" t="s">
        <v>407</v>
      </c>
      <c r="L61" s="8" t="s">
        <v>423</v>
      </c>
      <c r="M61" s="8" t="s">
        <v>125</v>
      </c>
      <c r="N61" s="8">
        <v>10</v>
      </c>
      <c r="O61" s="8" t="s">
        <v>429</v>
      </c>
      <c r="P61" s="8" t="s">
        <v>27</v>
      </c>
      <c r="Q61" s="10" t="s">
        <v>596</v>
      </c>
      <c r="R61" s="11">
        <v>46062992</v>
      </c>
      <c r="S61" s="11">
        <v>849600</v>
      </c>
      <c r="T61" s="11">
        <v>41856299</v>
      </c>
      <c r="U61" s="11">
        <v>58500000</v>
      </c>
      <c r="V61" s="12" t="s">
        <v>417</v>
      </c>
      <c r="W61" s="11">
        <v>0</v>
      </c>
      <c r="X61" s="11">
        <v>391535</v>
      </c>
      <c r="Y61" s="11">
        <f>+X61</f>
        <v>391535</v>
      </c>
      <c r="Z61" s="1">
        <f>+X61/R61</f>
        <v>8.499990621538436E-3</v>
      </c>
      <c r="AA61" s="13"/>
      <c r="AB61" s="10" t="s">
        <v>412</v>
      </c>
    </row>
    <row r="62" spans="1:28" ht="15.75" customHeight="1" x14ac:dyDescent="0.25">
      <c r="A62" s="8" t="s">
        <v>401</v>
      </c>
      <c r="B62" s="8" t="s">
        <v>402</v>
      </c>
      <c r="C62" s="9" t="s">
        <v>403</v>
      </c>
      <c r="D62" s="8" t="s">
        <v>5</v>
      </c>
      <c r="E62" s="8" t="s">
        <v>121</v>
      </c>
      <c r="F62" s="8">
        <v>823</v>
      </c>
      <c r="G62" s="8" t="s">
        <v>597</v>
      </c>
      <c r="H62" s="8">
        <v>26979601</v>
      </c>
      <c r="I62" s="8" t="s">
        <v>598</v>
      </c>
      <c r="J62" s="8" t="s">
        <v>414</v>
      </c>
      <c r="K62" s="8" t="s">
        <v>407</v>
      </c>
      <c r="L62" s="8" t="s">
        <v>408</v>
      </c>
      <c r="M62" s="8" t="s">
        <v>126</v>
      </c>
      <c r="N62" s="8">
        <v>10</v>
      </c>
      <c r="O62" s="8" t="s">
        <v>429</v>
      </c>
      <c r="P62" s="8" t="s">
        <v>27</v>
      </c>
      <c r="Q62" s="10" t="s">
        <v>599</v>
      </c>
      <c r="R62" s="11">
        <v>45661417</v>
      </c>
      <c r="S62" s="11">
        <v>1149600</v>
      </c>
      <c r="T62" s="11">
        <v>41856299</v>
      </c>
      <c r="U62" s="11">
        <v>57990000</v>
      </c>
      <c r="V62" s="12" t="s">
        <v>411</v>
      </c>
      <c r="W62" s="11">
        <v>0</v>
      </c>
      <c r="X62" s="11">
        <v>388122</v>
      </c>
      <c r="Y62" s="11">
        <f>+X62</f>
        <v>388122</v>
      </c>
      <c r="Z62" s="1">
        <f>+X62/R62</f>
        <v>8.4999990254354136E-3</v>
      </c>
      <c r="AA62" s="13"/>
      <c r="AB62" s="10" t="s">
        <v>412</v>
      </c>
    </row>
    <row r="63" spans="1:28" ht="15.75" customHeight="1" x14ac:dyDescent="0.25">
      <c r="A63" s="8" t="s">
        <v>401</v>
      </c>
      <c r="B63" s="8" t="s">
        <v>402</v>
      </c>
      <c r="C63" s="9" t="s">
        <v>403</v>
      </c>
      <c r="D63" s="8" t="s">
        <v>5</v>
      </c>
      <c r="E63" s="8" t="s">
        <v>121</v>
      </c>
      <c r="F63" s="8">
        <v>823</v>
      </c>
      <c r="G63" s="8" t="s">
        <v>404</v>
      </c>
      <c r="H63" s="8">
        <v>27012021</v>
      </c>
      <c r="I63" s="8" t="s">
        <v>600</v>
      </c>
      <c r="J63" s="8" t="s">
        <v>414</v>
      </c>
      <c r="K63" s="8" t="s">
        <v>407</v>
      </c>
      <c r="L63" s="8" t="s">
        <v>415</v>
      </c>
      <c r="M63" s="8" t="s">
        <v>128</v>
      </c>
      <c r="N63" s="8">
        <v>10</v>
      </c>
      <c r="O63" s="8" t="s">
        <v>429</v>
      </c>
      <c r="P63" s="8" t="s">
        <v>27</v>
      </c>
      <c r="Q63" s="10" t="s">
        <v>601</v>
      </c>
      <c r="R63" s="11">
        <v>44535433</v>
      </c>
      <c r="S63" s="11">
        <v>1149600</v>
      </c>
      <c r="T63" s="11">
        <v>41856299</v>
      </c>
      <c r="U63" s="11">
        <v>56560000</v>
      </c>
      <c r="V63" s="12" t="s">
        <v>426</v>
      </c>
      <c r="W63" s="11">
        <v>0</v>
      </c>
      <c r="X63" s="11">
        <v>378551</v>
      </c>
      <c r="Y63" s="11">
        <f t="shared" ref="Y63:Y64" si="9">+X63</f>
        <v>378551</v>
      </c>
      <c r="Z63" s="1">
        <f>+X63/R63</f>
        <v>8.4999959470473761E-3</v>
      </c>
      <c r="AA63" s="13"/>
      <c r="AB63" s="10" t="s">
        <v>412</v>
      </c>
    </row>
    <row r="64" spans="1:28" ht="15.75" customHeight="1" x14ac:dyDescent="0.25">
      <c r="A64" s="8" t="s">
        <v>401</v>
      </c>
      <c r="B64" s="8" t="s">
        <v>402</v>
      </c>
      <c r="C64" s="9" t="s">
        <v>403</v>
      </c>
      <c r="D64" s="8" t="s">
        <v>5</v>
      </c>
      <c r="E64" s="8" t="s">
        <v>121</v>
      </c>
      <c r="F64" s="8">
        <v>823</v>
      </c>
      <c r="G64" s="8" t="s">
        <v>577</v>
      </c>
      <c r="H64" s="8">
        <v>26996517</v>
      </c>
      <c r="I64" s="8" t="s">
        <v>602</v>
      </c>
      <c r="J64" s="8" t="s">
        <v>456</v>
      </c>
      <c r="K64" s="8" t="s">
        <v>407</v>
      </c>
      <c r="L64" s="8" t="s">
        <v>414</v>
      </c>
      <c r="M64" s="8" t="s">
        <v>127</v>
      </c>
      <c r="N64" s="8">
        <v>10</v>
      </c>
      <c r="O64" s="8" t="s">
        <v>429</v>
      </c>
      <c r="P64" s="8" t="s">
        <v>27</v>
      </c>
      <c r="Q64" s="10" t="s">
        <v>603</v>
      </c>
      <c r="R64" s="11">
        <v>46062992</v>
      </c>
      <c r="S64" s="11">
        <v>849600</v>
      </c>
      <c r="T64" s="11">
        <v>41856299</v>
      </c>
      <c r="U64" s="11">
        <v>58500000</v>
      </c>
      <c r="V64" s="12" t="s">
        <v>417</v>
      </c>
      <c r="W64" s="11">
        <v>0</v>
      </c>
      <c r="X64" s="11">
        <v>391535</v>
      </c>
      <c r="Y64" s="11">
        <f t="shared" si="9"/>
        <v>391535</v>
      </c>
      <c r="Z64" s="1">
        <f>+X64/R64</f>
        <v>8.499990621538436E-3</v>
      </c>
      <c r="AA64" s="13"/>
      <c r="AB64" s="10" t="s">
        <v>412</v>
      </c>
    </row>
    <row r="65" spans="1:29" ht="15.75" customHeight="1" x14ac:dyDescent="0.25">
      <c r="A65" s="8" t="s">
        <v>401</v>
      </c>
      <c r="B65" s="8" t="s">
        <v>402</v>
      </c>
      <c r="C65" s="9" t="s">
        <v>403</v>
      </c>
      <c r="D65" s="8" t="s">
        <v>5</v>
      </c>
      <c r="E65" s="8" t="s">
        <v>121</v>
      </c>
      <c r="F65" s="8">
        <v>823</v>
      </c>
      <c r="G65" s="8" t="s">
        <v>592</v>
      </c>
      <c r="H65" s="8">
        <v>26993679</v>
      </c>
      <c r="I65" s="8" t="s">
        <v>604</v>
      </c>
      <c r="J65" s="8" t="s">
        <v>422</v>
      </c>
      <c r="K65" s="8" t="s">
        <v>407</v>
      </c>
      <c r="L65" s="8" t="s">
        <v>414</v>
      </c>
      <c r="M65" s="8" t="s">
        <v>129</v>
      </c>
      <c r="N65" s="8">
        <v>10</v>
      </c>
      <c r="O65" s="8" t="s">
        <v>458</v>
      </c>
      <c r="P65" s="8" t="s">
        <v>43</v>
      </c>
      <c r="Q65" s="10" t="s">
        <v>605</v>
      </c>
      <c r="R65" s="11">
        <v>52362205</v>
      </c>
      <c r="S65" s="11">
        <v>1415600</v>
      </c>
      <c r="T65" s="11">
        <v>46908793</v>
      </c>
      <c r="U65" s="11">
        <v>66500000</v>
      </c>
      <c r="V65" s="12" t="s">
        <v>554</v>
      </c>
      <c r="W65" s="11">
        <v>0</v>
      </c>
      <c r="X65" s="11">
        <v>445079</v>
      </c>
      <c r="Y65" s="11">
        <f>+X65/2</f>
        <v>222539.5</v>
      </c>
      <c r="Z65" s="1">
        <f>+X65/R65</f>
        <v>8.5000049176691475E-3</v>
      </c>
      <c r="AA65" s="13"/>
      <c r="AB65" s="10" t="s">
        <v>518</v>
      </c>
    </row>
    <row r="66" spans="1:29" ht="15.75" customHeight="1" x14ac:dyDescent="0.25">
      <c r="A66" s="8" t="s">
        <v>401</v>
      </c>
      <c r="B66" s="8" t="s">
        <v>402</v>
      </c>
      <c r="C66" s="9" t="s">
        <v>403</v>
      </c>
      <c r="D66" s="8" t="s">
        <v>5</v>
      </c>
      <c r="E66" s="8" t="s">
        <v>121</v>
      </c>
      <c r="F66" s="8">
        <v>823</v>
      </c>
      <c r="G66" s="8" t="s">
        <v>592</v>
      </c>
      <c r="H66" s="8">
        <v>27056948</v>
      </c>
      <c r="I66" s="8" t="s">
        <v>606</v>
      </c>
      <c r="J66" s="8" t="s">
        <v>406</v>
      </c>
      <c r="K66" s="8" t="s">
        <v>407</v>
      </c>
      <c r="L66" s="8" t="s">
        <v>422</v>
      </c>
      <c r="M66" s="8" t="s">
        <v>131</v>
      </c>
      <c r="N66" s="8">
        <v>10</v>
      </c>
      <c r="O66" s="8" t="s">
        <v>441</v>
      </c>
      <c r="P66" s="8" t="s">
        <v>30</v>
      </c>
      <c r="Q66" s="10" t="s">
        <v>607</v>
      </c>
      <c r="R66" s="11">
        <v>136283186</v>
      </c>
      <c r="S66" s="11">
        <v>1081200</v>
      </c>
      <c r="T66" s="11">
        <v>127425664</v>
      </c>
      <c r="U66" s="11">
        <v>154000000</v>
      </c>
      <c r="V66" s="12" t="s">
        <v>426</v>
      </c>
      <c r="W66" s="11">
        <v>0</v>
      </c>
      <c r="X66" s="11">
        <v>1158407</v>
      </c>
      <c r="Y66" s="11">
        <f>+X66</f>
        <v>1158407</v>
      </c>
      <c r="Z66" s="1">
        <f>+X66/R66</f>
        <v>8.4999994056493521E-3</v>
      </c>
      <c r="AA66" s="13"/>
      <c r="AB66" s="10" t="s">
        <v>412</v>
      </c>
      <c r="AC66" s="31" t="s">
        <v>1098</v>
      </c>
    </row>
    <row r="67" spans="1:29" ht="15.75" customHeight="1" x14ac:dyDescent="0.25">
      <c r="A67" s="8" t="s">
        <v>401</v>
      </c>
      <c r="B67" s="8" t="s">
        <v>402</v>
      </c>
      <c r="C67" s="9" t="s">
        <v>403</v>
      </c>
      <c r="D67" s="8" t="s">
        <v>5</v>
      </c>
      <c r="E67" s="8" t="s">
        <v>121</v>
      </c>
      <c r="F67" s="8">
        <v>823</v>
      </c>
      <c r="G67" s="8" t="s">
        <v>404</v>
      </c>
      <c r="H67" s="8">
        <v>27061270</v>
      </c>
      <c r="I67" s="8" t="s">
        <v>608</v>
      </c>
      <c r="J67" s="8" t="s">
        <v>609</v>
      </c>
      <c r="K67" s="8" t="s">
        <v>407</v>
      </c>
      <c r="L67" s="8" t="s">
        <v>414</v>
      </c>
      <c r="M67" s="8" t="s">
        <v>130</v>
      </c>
      <c r="N67" s="8">
        <v>10</v>
      </c>
      <c r="O67" s="8" t="s">
        <v>572</v>
      </c>
      <c r="P67" s="8" t="s">
        <v>108</v>
      </c>
      <c r="Q67" s="10" t="s">
        <v>610</v>
      </c>
      <c r="R67" s="11">
        <v>86614173</v>
      </c>
      <c r="S67" s="11">
        <v>2814000</v>
      </c>
      <c r="T67" s="11">
        <v>82370006</v>
      </c>
      <c r="U67" s="11">
        <v>110000000</v>
      </c>
      <c r="V67" s="12" t="s">
        <v>471</v>
      </c>
      <c r="W67" s="11">
        <v>0</v>
      </c>
      <c r="X67" s="11">
        <v>736220</v>
      </c>
      <c r="Y67" s="11">
        <f t="shared" ref="Y67:Y68" si="10">+X67</f>
        <v>736220</v>
      </c>
      <c r="Z67" s="1">
        <f>+X67/R67</f>
        <v>8.4999945678636227E-3</v>
      </c>
      <c r="AA67" s="13"/>
      <c r="AB67" s="10" t="s">
        <v>412</v>
      </c>
    </row>
    <row r="68" spans="1:29" ht="15.75" customHeight="1" x14ac:dyDescent="0.25">
      <c r="A68" s="8" t="s">
        <v>401</v>
      </c>
      <c r="B68" s="8" t="s">
        <v>402</v>
      </c>
      <c r="C68" s="9" t="s">
        <v>403</v>
      </c>
      <c r="D68" s="8" t="s">
        <v>5</v>
      </c>
      <c r="E68" s="8" t="s">
        <v>133</v>
      </c>
      <c r="F68" s="8">
        <v>923</v>
      </c>
      <c r="G68" s="8" t="s">
        <v>404</v>
      </c>
      <c r="H68" s="8">
        <v>27024492</v>
      </c>
      <c r="I68" s="8" t="s">
        <v>611</v>
      </c>
      <c r="J68" s="8" t="s">
        <v>541</v>
      </c>
      <c r="K68" s="8" t="s">
        <v>407</v>
      </c>
      <c r="L68" s="8" t="s">
        <v>456</v>
      </c>
      <c r="M68" s="8" t="s">
        <v>138</v>
      </c>
      <c r="N68" s="8">
        <v>8</v>
      </c>
      <c r="O68" s="8" t="s">
        <v>499</v>
      </c>
      <c r="P68" s="8" t="s">
        <v>66</v>
      </c>
      <c r="Q68" s="10" t="s">
        <v>612</v>
      </c>
      <c r="R68" s="11">
        <v>76960630</v>
      </c>
      <c r="S68" s="11">
        <v>2274000</v>
      </c>
      <c r="T68" s="11">
        <v>69655906</v>
      </c>
      <c r="U68" s="11">
        <v>97740000</v>
      </c>
      <c r="V68" s="12" t="s">
        <v>417</v>
      </c>
      <c r="W68" s="11">
        <v>0</v>
      </c>
      <c r="X68" s="11">
        <f>+R68*0.85%</f>
        <v>654165.3550000001</v>
      </c>
      <c r="Y68" s="11">
        <f t="shared" si="10"/>
        <v>654165.3550000001</v>
      </c>
      <c r="Z68" s="1">
        <f>+X68/R68</f>
        <v>8.5000000000000006E-3</v>
      </c>
      <c r="AA68" s="13"/>
      <c r="AB68" s="10" t="s">
        <v>412</v>
      </c>
    </row>
    <row r="69" spans="1:29" ht="15.75" customHeight="1" x14ac:dyDescent="0.25">
      <c r="A69" s="8" t="s">
        <v>401</v>
      </c>
      <c r="B69" s="8" t="s">
        <v>402</v>
      </c>
      <c r="C69" s="9" t="s">
        <v>403</v>
      </c>
      <c r="D69" s="8" t="s">
        <v>5</v>
      </c>
      <c r="E69" s="8" t="s">
        <v>133</v>
      </c>
      <c r="F69" s="8">
        <v>923</v>
      </c>
      <c r="G69" s="8" t="s">
        <v>496</v>
      </c>
      <c r="H69" s="8">
        <v>27083517</v>
      </c>
      <c r="I69" s="8" t="s">
        <v>613</v>
      </c>
      <c r="J69" s="8" t="s">
        <v>423</v>
      </c>
      <c r="K69" s="8" t="s">
        <v>407</v>
      </c>
      <c r="L69" s="8" t="s">
        <v>408</v>
      </c>
      <c r="M69" s="8" t="s">
        <v>137</v>
      </c>
      <c r="N69" s="8">
        <v>8</v>
      </c>
      <c r="O69" s="8" t="s">
        <v>499</v>
      </c>
      <c r="P69" s="8" t="s">
        <v>66</v>
      </c>
      <c r="Q69" s="10" t="s">
        <v>614</v>
      </c>
      <c r="R69" s="11">
        <v>76960630</v>
      </c>
      <c r="S69" s="11">
        <v>3450000</v>
      </c>
      <c r="T69" s="11">
        <v>68212336</v>
      </c>
      <c r="U69" s="11">
        <v>97740000</v>
      </c>
      <c r="V69" s="12" t="s">
        <v>576</v>
      </c>
      <c r="W69" s="11">
        <v>97740000</v>
      </c>
      <c r="X69" s="11">
        <f>+R69*0.85%</f>
        <v>654165.3550000001</v>
      </c>
      <c r="Y69" s="11">
        <v>0</v>
      </c>
      <c r="Z69" s="1">
        <f>+X69/R69</f>
        <v>8.5000000000000006E-3</v>
      </c>
      <c r="AA69" s="13"/>
      <c r="AB69" s="10" t="s">
        <v>412</v>
      </c>
    </row>
    <row r="70" spans="1:29" ht="15.75" customHeight="1" x14ac:dyDescent="0.25">
      <c r="A70" s="8" t="s">
        <v>401</v>
      </c>
      <c r="B70" s="8" t="s">
        <v>402</v>
      </c>
      <c r="C70" s="9" t="s">
        <v>403</v>
      </c>
      <c r="D70" s="8" t="s">
        <v>5</v>
      </c>
      <c r="E70" s="8" t="s">
        <v>133</v>
      </c>
      <c r="F70" s="8">
        <v>923</v>
      </c>
      <c r="G70" s="8" t="s">
        <v>464</v>
      </c>
      <c r="H70" s="8">
        <v>27076352</v>
      </c>
      <c r="I70" s="8" t="s">
        <v>615</v>
      </c>
      <c r="J70" s="8" t="s">
        <v>414</v>
      </c>
      <c r="K70" s="8" t="s">
        <v>407</v>
      </c>
      <c r="L70" s="8" t="s">
        <v>444</v>
      </c>
      <c r="M70" s="8" t="s">
        <v>139</v>
      </c>
      <c r="N70" s="8">
        <v>8</v>
      </c>
      <c r="O70" s="8" t="s">
        <v>429</v>
      </c>
      <c r="P70" s="8" t="s">
        <v>27</v>
      </c>
      <c r="Q70" s="10" t="s">
        <v>616</v>
      </c>
      <c r="R70" s="11">
        <v>47244094</v>
      </c>
      <c r="S70" s="11">
        <v>1923900</v>
      </c>
      <c r="T70" s="11">
        <v>41856299</v>
      </c>
      <c r="U70" s="11">
        <v>60000000</v>
      </c>
      <c r="V70" s="12" t="s">
        <v>576</v>
      </c>
      <c r="W70" s="11">
        <v>55000000</v>
      </c>
      <c r="X70" s="11">
        <f>+R70*0.85%</f>
        <v>401574.79900000006</v>
      </c>
      <c r="Y70" s="11">
        <v>0</v>
      </c>
      <c r="Z70" s="1">
        <f>+X70/R70</f>
        <v>8.5000000000000006E-3</v>
      </c>
      <c r="AA70" s="13"/>
      <c r="AB70" s="10" t="s">
        <v>412</v>
      </c>
    </row>
    <row r="71" spans="1:29" ht="15.75" customHeight="1" x14ac:dyDescent="0.25">
      <c r="A71" s="8" t="s">
        <v>401</v>
      </c>
      <c r="B71" s="8" t="s">
        <v>402</v>
      </c>
      <c r="C71" s="9" t="s">
        <v>403</v>
      </c>
      <c r="D71" s="8" t="s">
        <v>5</v>
      </c>
      <c r="E71" s="8" t="s">
        <v>133</v>
      </c>
      <c r="F71" s="8">
        <v>923</v>
      </c>
      <c r="G71" s="8" t="s">
        <v>496</v>
      </c>
      <c r="H71" s="8">
        <v>26990861</v>
      </c>
      <c r="I71" s="8" t="s">
        <v>617</v>
      </c>
      <c r="J71" s="8" t="s">
        <v>422</v>
      </c>
      <c r="K71" s="8" t="s">
        <v>407</v>
      </c>
      <c r="L71" s="8" t="s">
        <v>415</v>
      </c>
      <c r="M71" s="8" t="s">
        <v>140</v>
      </c>
      <c r="N71" s="8">
        <v>8</v>
      </c>
      <c r="O71" s="8" t="s">
        <v>458</v>
      </c>
      <c r="P71" s="8" t="s">
        <v>43</v>
      </c>
      <c r="Q71" s="10" t="s">
        <v>618</v>
      </c>
      <c r="R71" s="11">
        <v>51960630</v>
      </c>
      <c r="S71" s="11">
        <v>849600</v>
      </c>
      <c r="T71" s="11">
        <v>46908793</v>
      </c>
      <c r="U71" s="11">
        <v>65990000</v>
      </c>
      <c r="V71" s="12" t="s">
        <v>554</v>
      </c>
      <c r="W71" s="11">
        <v>46551000</v>
      </c>
      <c r="X71" s="11">
        <f>+R71*0.85%</f>
        <v>441665.35500000004</v>
      </c>
      <c r="Y71" s="11">
        <v>0</v>
      </c>
      <c r="Z71" s="1">
        <f>+X71/R71</f>
        <v>8.5000000000000006E-3</v>
      </c>
      <c r="AA71" s="13"/>
      <c r="AB71" s="10" t="s">
        <v>412</v>
      </c>
    </row>
    <row r="72" spans="1:29" ht="15.75" customHeight="1" x14ac:dyDescent="0.25">
      <c r="A72" s="8" t="s">
        <v>401</v>
      </c>
      <c r="B72" s="8" t="s">
        <v>402</v>
      </c>
      <c r="C72" s="9" t="s">
        <v>403</v>
      </c>
      <c r="D72" s="8" t="s">
        <v>5</v>
      </c>
      <c r="E72" s="8" t="s">
        <v>133</v>
      </c>
      <c r="F72" s="8">
        <v>923</v>
      </c>
      <c r="G72" s="8" t="s">
        <v>404</v>
      </c>
      <c r="H72" s="8">
        <v>27044868</v>
      </c>
      <c r="I72" s="8" t="s">
        <v>619</v>
      </c>
      <c r="J72" s="8" t="s">
        <v>588</v>
      </c>
      <c r="K72" s="8" t="s">
        <v>407</v>
      </c>
      <c r="L72" s="8" t="s">
        <v>408</v>
      </c>
      <c r="M72" s="8" t="s">
        <v>142</v>
      </c>
      <c r="N72" s="8">
        <v>8</v>
      </c>
      <c r="O72" s="8" t="s">
        <v>620</v>
      </c>
      <c r="P72" s="8" t="s">
        <v>141</v>
      </c>
      <c r="Q72" s="10" t="s">
        <v>621</v>
      </c>
      <c r="R72" s="11">
        <v>88181102</v>
      </c>
      <c r="S72" s="11">
        <v>1940600</v>
      </c>
      <c r="T72" s="11">
        <v>84441602</v>
      </c>
      <c r="U72" s="11">
        <v>111990000</v>
      </c>
      <c r="V72" s="12" t="s">
        <v>622</v>
      </c>
      <c r="W72" s="11">
        <v>0</v>
      </c>
      <c r="X72" s="11">
        <f>+R72*0.85%</f>
        <v>749539.36700000009</v>
      </c>
      <c r="Y72" s="11">
        <f t="shared" ref="Y72:Y73" si="11">X72</f>
        <v>749539.36700000009</v>
      </c>
      <c r="Z72" s="1">
        <f>+X72/R72</f>
        <v>8.5000000000000006E-3</v>
      </c>
      <c r="AA72" s="13"/>
      <c r="AB72" s="10" t="s">
        <v>412</v>
      </c>
    </row>
    <row r="73" spans="1:29" ht="15.75" customHeight="1" x14ac:dyDescent="0.25">
      <c r="A73" s="8" t="s">
        <v>401</v>
      </c>
      <c r="B73" s="8" t="s">
        <v>402</v>
      </c>
      <c r="C73" s="9" t="s">
        <v>403</v>
      </c>
      <c r="D73" s="8" t="s">
        <v>5</v>
      </c>
      <c r="E73" s="8" t="s">
        <v>133</v>
      </c>
      <c r="F73" s="8">
        <v>923</v>
      </c>
      <c r="G73" s="8" t="s">
        <v>623</v>
      </c>
      <c r="H73" s="8">
        <v>27016172</v>
      </c>
      <c r="I73" s="8" t="s">
        <v>624</v>
      </c>
      <c r="J73" s="8" t="s">
        <v>541</v>
      </c>
      <c r="K73" s="8" t="s">
        <v>407</v>
      </c>
      <c r="L73" s="8" t="s">
        <v>456</v>
      </c>
      <c r="M73" s="8" t="s">
        <v>143</v>
      </c>
      <c r="N73" s="8">
        <v>8</v>
      </c>
      <c r="O73" s="8" t="s">
        <v>572</v>
      </c>
      <c r="P73" s="8" t="s">
        <v>108</v>
      </c>
      <c r="Q73" s="10" t="s">
        <v>625</v>
      </c>
      <c r="R73" s="11">
        <v>87401575</v>
      </c>
      <c r="S73" s="11">
        <v>3987000</v>
      </c>
      <c r="T73" s="11">
        <v>81554462</v>
      </c>
      <c r="U73" s="11">
        <v>111000000</v>
      </c>
      <c r="V73" s="12" t="s">
        <v>463</v>
      </c>
      <c r="W73" s="11">
        <v>0</v>
      </c>
      <c r="X73" s="11">
        <f>+R73*0.85%</f>
        <v>742913.38750000007</v>
      </c>
      <c r="Y73" s="11">
        <f t="shared" si="11"/>
        <v>742913.38750000007</v>
      </c>
      <c r="Z73" s="1">
        <f>+X73/R73</f>
        <v>8.5000000000000006E-3</v>
      </c>
      <c r="AA73" s="13"/>
      <c r="AB73" s="10" t="s">
        <v>412</v>
      </c>
    </row>
    <row r="74" spans="1:29" ht="15.75" customHeight="1" x14ac:dyDescent="0.25">
      <c r="A74" s="8" t="s">
        <v>401</v>
      </c>
      <c r="B74" s="8" t="s">
        <v>402</v>
      </c>
      <c r="C74" s="9" t="s">
        <v>403</v>
      </c>
      <c r="D74" s="8" t="s">
        <v>5</v>
      </c>
      <c r="E74" s="8" t="s">
        <v>133</v>
      </c>
      <c r="F74" s="8">
        <v>923</v>
      </c>
      <c r="G74" s="8" t="s">
        <v>404</v>
      </c>
      <c r="H74" s="8" t="s">
        <v>626</v>
      </c>
      <c r="I74" s="8" t="s">
        <v>627</v>
      </c>
      <c r="J74" s="15" t="s">
        <v>414</v>
      </c>
      <c r="K74" s="15" t="s">
        <v>407</v>
      </c>
      <c r="L74" s="15" t="s">
        <v>444</v>
      </c>
      <c r="M74" s="8" t="s">
        <v>136</v>
      </c>
      <c r="N74" s="8">
        <v>8</v>
      </c>
      <c r="O74" s="8" t="s">
        <v>466</v>
      </c>
      <c r="P74" s="8" t="s">
        <v>51</v>
      </c>
      <c r="Q74" s="10" t="s">
        <v>628</v>
      </c>
      <c r="R74" s="11">
        <v>64559055</v>
      </c>
      <c r="S74" s="11">
        <v>2327300</v>
      </c>
      <c r="T74" s="11">
        <v>58107349</v>
      </c>
      <c r="U74" s="11">
        <v>81990000</v>
      </c>
      <c r="V74" s="12" t="s">
        <v>463</v>
      </c>
      <c r="W74" s="11">
        <v>51990000</v>
      </c>
      <c r="X74" s="11">
        <f>+R74*0.85%</f>
        <v>548751.96750000003</v>
      </c>
      <c r="Y74" s="11">
        <v>0</v>
      </c>
      <c r="Z74" s="1">
        <f>+X74/R74</f>
        <v>8.5000000000000006E-3</v>
      </c>
      <c r="AA74" s="13"/>
      <c r="AB74" s="10" t="s">
        <v>412</v>
      </c>
    </row>
    <row r="75" spans="1:29" ht="15.75" customHeight="1" x14ac:dyDescent="0.25">
      <c r="A75" s="8" t="s">
        <v>401</v>
      </c>
      <c r="B75" s="8" t="s">
        <v>402</v>
      </c>
      <c r="C75" s="9" t="s">
        <v>403</v>
      </c>
      <c r="D75" s="8" t="s">
        <v>5</v>
      </c>
      <c r="E75" s="8" t="s">
        <v>133</v>
      </c>
      <c r="F75" s="8">
        <v>923</v>
      </c>
      <c r="G75" s="8" t="s">
        <v>404</v>
      </c>
      <c r="H75" s="8" t="s">
        <v>629</v>
      </c>
      <c r="I75" s="8" t="s">
        <v>630</v>
      </c>
      <c r="J75" s="15" t="s">
        <v>631</v>
      </c>
      <c r="K75" s="15" t="s">
        <v>407</v>
      </c>
      <c r="L75" s="15" t="s">
        <v>444</v>
      </c>
      <c r="M75" s="8" t="s">
        <v>135</v>
      </c>
      <c r="N75" s="8">
        <v>8</v>
      </c>
      <c r="O75" s="8" t="s">
        <v>632</v>
      </c>
      <c r="P75" s="8" t="s">
        <v>134</v>
      </c>
      <c r="Q75" s="10" t="s">
        <v>633</v>
      </c>
      <c r="R75" s="11">
        <v>62184874</v>
      </c>
      <c r="S75" s="11">
        <v>849600</v>
      </c>
      <c r="T75" s="11">
        <v>54523056</v>
      </c>
      <c r="U75" s="11">
        <v>74000000</v>
      </c>
      <c r="V75" s="12" t="s">
        <v>463</v>
      </c>
      <c r="W75" s="11">
        <v>0</v>
      </c>
      <c r="X75" s="11">
        <f>+R75*0.85%</f>
        <v>528571.429</v>
      </c>
      <c r="Y75" s="11">
        <f>+X75</f>
        <v>528571.429</v>
      </c>
      <c r="Z75" s="1">
        <f>+X75/R75</f>
        <v>8.5000000000000006E-3</v>
      </c>
      <c r="AA75" s="13"/>
      <c r="AB75" s="10" t="s">
        <v>412</v>
      </c>
    </row>
    <row r="76" spans="1:29" ht="15.75" customHeight="1" x14ac:dyDescent="0.25">
      <c r="A76" s="8" t="s">
        <v>401</v>
      </c>
      <c r="B76" s="8" t="s">
        <v>402</v>
      </c>
      <c r="C76" s="9" t="s">
        <v>403</v>
      </c>
      <c r="D76" s="8" t="s">
        <v>5</v>
      </c>
      <c r="E76" s="8" t="s">
        <v>145</v>
      </c>
      <c r="F76" s="8">
        <v>320</v>
      </c>
      <c r="G76" s="8" t="s">
        <v>464</v>
      </c>
      <c r="H76" s="8">
        <v>27080427</v>
      </c>
      <c r="I76" s="8" t="s">
        <v>634</v>
      </c>
      <c r="J76" s="8" t="s">
        <v>415</v>
      </c>
      <c r="K76" s="8" t="s">
        <v>407</v>
      </c>
      <c r="L76" s="8" t="s">
        <v>408</v>
      </c>
      <c r="M76" s="8" t="s">
        <v>146</v>
      </c>
      <c r="N76" s="8">
        <v>6</v>
      </c>
      <c r="O76" s="8" t="s">
        <v>545</v>
      </c>
      <c r="P76" s="8" t="s">
        <v>97</v>
      </c>
      <c r="Q76" s="10" t="s">
        <v>635</v>
      </c>
      <c r="R76" s="11">
        <v>69283465</v>
      </c>
      <c r="S76" s="11">
        <v>1631000</v>
      </c>
      <c r="T76" s="11">
        <v>63159842</v>
      </c>
      <c r="U76" s="11">
        <v>87990000</v>
      </c>
      <c r="V76" s="12" t="s">
        <v>417</v>
      </c>
      <c r="W76" s="11">
        <v>87990000</v>
      </c>
      <c r="X76" s="11">
        <v>484984</v>
      </c>
      <c r="Y76" s="11">
        <v>0</v>
      </c>
      <c r="Z76" s="1">
        <f>+X76/R76</f>
        <v>6.9999963194681443E-3</v>
      </c>
      <c r="AA76" s="13"/>
      <c r="AB76" s="10" t="s">
        <v>412</v>
      </c>
    </row>
    <row r="77" spans="1:29" ht="15.75" customHeight="1" x14ac:dyDescent="0.25">
      <c r="A77" s="8" t="s">
        <v>401</v>
      </c>
      <c r="B77" s="8" t="s">
        <v>402</v>
      </c>
      <c r="C77" s="9" t="s">
        <v>403</v>
      </c>
      <c r="D77" s="8" t="s">
        <v>5</v>
      </c>
      <c r="E77" s="8" t="s">
        <v>145</v>
      </c>
      <c r="F77" s="8">
        <v>320</v>
      </c>
      <c r="G77" s="8" t="s">
        <v>510</v>
      </c>
      <c r="H77" s="8">
        <v>27083406</v>
      </c>
      <c r="I77" s="8" t="s">
        <v>636</v>
      </c>
      <c r="J77" s="8" t="s">
        <v>415</v>
      </c>
      <c r="K77" s="8" t="s">
        <v>407</v>
      </c>
      <c r="L77" s="8" t="s">
        <v>408</v>
      </c>
      <c r="M77" s="8" t="s">
        <v>151</v>
      </c>
      <c r="N77" s="8">
        <v>6</v>
      </c>
      <c r="O77" s="8" t="s">
        <v>559</v>
      </c>
      <c r="P77" s="8" t="s">
        <v>103</v>
      </c>
      <c r="Q77" s="10" t="s">
        <v>637</v>
      </c>
      <c r="R77" s="11">
        <v>83407080</v>
      </c>
      <c r="S77" s="11">
        <v>2264000</v>
      </c>
      <c r="T77" s="11">
        <v>79564910</v>
      </c>
      <c r="U77" s="11">
        <v>94250000</v>
      </c>
      <c r="V77" s="12" t="s">
        <v>471</v>
      </c>
      <c r="W77" s="11">
        <v>0</v>
      </c>
      <c r="X77" s="11">
        <v>583850</v>
      </c>
      <c r="Y77" s="11">
        <f>X77/2</f>
        <v>291925</v>
      </c>
      <c r="Z77" s="1">
        <f>+X77/R77</f>
        <v>7.0000052753315424E-3</v>
      </c>
      <c r="AA77" s="13"/>
      <c r="AB77" s="10" t="s">
        <v>518</v>
      </c>
    </row>
    <row r="78" spans="1:29" ht="15.75" customHeight="1" x14ac:dyDescent="0.25">
      <c r="A78" s="8" t="s">
        <v>401</v>
      </c>
      <c r="B78" s="8" t="s">
        <v>402</v>
      </c>
      <c r="C78" s="9" t="s">
        <v>403</v>
      </c>
      <c r="D78" s="8" t="s">
        <v>5</v>
      </c>
      <c r="E78" s="8" t="s">
        <v>145</v>
      </c>
      <c r="F78" s="8">
        <v>320</v>
      </c>
      <c r="G78" s="8" t="s">
        <v>404</v>
      </c>
      <c r="H78" s="8">
        <v>27072233</v>
      </c>
      <c r="I78" s="8" t="s">
        <v>638</v>
      </c>
      <c r="J78" s="8" t="s">
        <v>422</v>
      </c>
      <c r="K78" s="8" t="s">
        <v>407</v>
      </c>
      <c r="L78" s="8" t="s">
        <v>408</v>
      </c>
      <c r="M78" s="8" t="s">
        <v>152</v>
      </c>
      <c r="N78" s="8">
        <v>6</v>
      </c>
      <c r="O78" s="8" t="s">
        <v>559</v>
      </c>
      <c r="P78" s="8" t="s">
        <v>103</v>
      </c>
      <c r="Q78" s="10" t="s">
        <v>639</v>
      </c>
      <c r="R78" s="11">
        <v>82070796</v>
      </c>
      <c r="S78" s="11">
        <v>2034000</v>
      </c>
      <c r="T78" s="11">
        <v>79564910</v>
      </c>
      <c r="U78" s="11">
        <v>92740000</v>
      </c>
      <c r="V78" s="12" t="s">
        <v>561</v>
      </c>
      <c r="W78" s="11">
        <v>0</v>
      </c>
      <c r="X78" s="11">
        <v>574496</v>
      </c>
      <c r="Y78" s="11">
        <f>+X78/2</f>
        <v>287248</v>
      </c>
      <c r="Z78" s="1">
        <f>+X78/R78</f>
        <v>7.0000052150097341E-3</v>
      </c>
      <c r="AA78" s="13"/>
      <c r="AB78" s="10" t="s">
        <v>518</v>
      </c>
    </row>
    <row r="79" spans="1:29" ht="15.75" customHeight="1" x14ac:dyDescent="0.25">
      <c r="A79" s="8" t="s">
        <v>401</v>
      </c>
      <c r="B79" s="8" t="s">
        <v>402</v>
      </c>
      <c r="C79" s="9" t="s">
        <v>403</v>
      </c>
      <c r="D79" s="8" t="s">
        <v>5</v>
      </c>
      <c r="E79" s="8" t="s">
        <v>145</v>
      </c>
      <c r="F79" s="8">
        <v>320</v>
      </c>
      <c r="G79" s="8" t="s">
        <v>404</v>
      </c>
      <c r="H79" s="8">
        <v>27086475</v>
      </c>
      <c r="I79" s="8" t="s">
        <v>640</v>
      </c>
      <c r="J79" s="8" t="s">
        <v>408</v>
      </c>
      <c r="K79" s="8" t="s">
        <v>407</v>
      </c>
      <c r="L79" s="8" t="s">
        <v>444</v>
      </c>
      <c r="M79" s="8" t="s">
        <v>150</v>
      </c>
      <c r="N79" s="8">
        <v>6</v>
      </c>
      <c r="O79" s="8" t="s">
        <v>441</v>
      </c>
      <c r="P79" s="8" t="s">
        <v>30</v>
      </c>
      <c r="Q79" s="10" t="s">
        <v>641</v>
      </c>
      <c r="R79" s="11">
        <v>131849558</v>
      </c>
      <c r="S79" s="11">
        <v>1041120</v>
      </c>
      <c r="T79" s="11">
        <v>127425664</v>
      </c>
      <c r="U79" s="11">
        <v>148990000</v>
      </c>
      <c r="V79" s="12" t="s">
        <v>561</v>
      </c>
      <c r="W79" s="11">
        <v>0</v>
      </c>
      <c r="X79" s="11">
        <v>922947</v>
      </c>
      <c r="Y79" s="11">
        <f t="shared" ref="Y79:Y81" si="12">X79</f>
        <v>922947</v>
      </c>
      <c r="Z79" s="1">
        <f>+X79/R79</f>
        <v>7.0000007129337512E-3</v>
      </c>
      <c r="AA79" s="13"/>
      <c r="AB79" s="10" t="s">
        <v>412</v>
      </c>
    </row>
    <row r="80" spans="1:29" ht="15.75" customHeight="1" x14ac:dyDescent="0.25">
      <c r="A80" s="8" t="s">
        <v>401</v>
      </c>
      <c r="B80" s="8" t="s">
        <v>402</v>
      </c>
      <c r="C80" s="9" t="s">
        <v>403</v>
      </c>
      <c r="D80" s="8" t="s">
        <v>5</v>
      </c>
      <c r="E80" s="8" t="s">
        <v>145</v>
      </c>
      <c r="F80" s="8">
        <v>320</v>
      </c>
      <c r="G80" s="8" t="s">
        <v>464</v>
      </c>
      <c r="H80" s="8">
        <v>27072509</v>
      </c>
      <c r="I80" s="8" t="s">
        <v>642</v>
      </c>
      <c r="J80" s="8" t="s">
        <v>422</v>
      </c>
      <c r="K80" s="8" t="s">
        <v>407</v>
      </c>
      <c r="L80" s="8" t="s">
        <v>408</v>
      </c>
      <c r="M80" s="8" t="s">
        <v>149</v>
      </c>
      <c r="N80" s="8">
        <v>6</v>
      </c>
      <c r="O80" s="8" t="s">
        <v>643</v>
      </c>
      <c r="P80" s="8" t="s">
        <v>148</v>
      </c>
      <c r="Q80" s="10" t="s">
        <v>644</v>
      </c>
      <c r="R80" s="11">
        <v>190074380</v>
      </c>
      <c r="S80" s="11">
        <v>1528300</v>
      </c>
      <c r="T80" s="11">
        <v>171066942</v>
      </c>
      <c r="U80" s="11">
        <v>229990000</v>
      </c>
      <c r="V80" s="12" t="s">
        <v>554</v>
      </c>
      <c r="W80" s="11">
        <v>0</v>
      </c>
      <c r="X80" s="11">
        <v>1330521</v>
      </c>
      <c r="Y80" s="11">
        <f t="shared" si="12"/>
        <v>1330521</v>
      </c>
      <c r="Z80" s="1">
        <f>+X80/R80</f>
        <v>7.0000017887734264E-3</v>
      </c>
      <c r="AA80" s="13"/>
      <c r="AB80" s="10" t="s">
        <v>412</v>
      </c>
    </row>
    <row r="81" spans="1:28" ht="15.75" customHeight="1" x14ac:dyDescent="0.25">
      <c r="A81" s="8" t="s">
        <v>401</v>
      </c>
      <c r="B81" s="8" t="s">
        <v>402</v>
      </c>
      <c r="C81" s="9" t="s">
        <v>403</v>
      </c>
      <c r="D81" s="8" t="s">
        <v>5</v>
      </c>
      <c r="E81" s="8" t="s">
        <v>145</v>
      </c>
      <c r="F81" s="8">
        <v>320</v>
      </c>
      <c r="G81" s="8" t="s">
        <v>557</v>
      </c>
      <c r="H81" s="8">
        <v>27048801</v>
      </c>
      <c r="I81" s="8" t="s">
        <v>645</v>
      </c>
      <c r="J81" s="8" t="s">
        <v>452</v>
      </c>
      <c r="K81" s="8" t="s">
        <v>407</v>
      </c>
      <c r="L81" s="8" t="s">
        <v>414</v>
      </c>
      <c r="M81" s="8" t="s">
        <v>147</v>
      </c>
      <c r="N81" s="8">
        <v>6</v>
      </c>
      <c r="O81" s="8" t="s">
        <v>461</v>
      </c>
      <c r="P81" s="8" t="s">
        <v>45</v>
      </c>
      <c r="Q81" s="10" t="s">
        <v>646</v>
      </c>
      <c r="R81" s="11">
        <v>74779528</v>
      </c>
      <c r="S81" s="11">
        <v>3555600</v>
      </c>
      <c r="T81" s="11">
        <v>64953412</v>
      </c>
      <c r="U81" s="11">
        <v>94970000</v>
      </c>
      <c r="V81" s="12" t="s">
        <v>647</v>
      </c>
      <c r="W81" s="11">
        <v>0</v>
      </c>
      <c r="X81" s="11">
        <v>523457</v>
      </c>
      <c r="Y81" s="11">
        <f t="shared" si="12"/>
        <v>523457</v>
      </c>
      <c r="Z81" s="1">
        <f>+X81/R81</f>
        <v>7.0000040652837495E-3</v>
      </c>
      <c r="AA81" s="13"/>
      <c r="AB81" s="10" t="s">
        <v>412</v>
      </c>
    </row>
    <row r="82" spans="1:28" ht="15.75" customHeight="1" x14ac:dyDescent="0.25">
      <c r="A82" s="8" t="s">
        <v>401</v>
      </c>
      <c r="B82" s="8" t="s">
        <v>402</v>
      </c>
      <c r="C82" s="9" t="s">
        <v>403</v>
      </c>
      <c r="D82" s="8" t="s">
        <v>6</v>
      </c>
      <c r="E82" s="8" t="s">
        <v>155</v>
      </c>
      <c r="F82" s="8">
        <v>861</v>
      </c>
      <c r="G82" s="8" t="s">
        <v>404</v>
      </c>
      <c r="H82" s="8">
        <v>27034472</v>
      </c>
      <c r="I82" s="8" t="s">
        <v>648</v>
      </c>
      <c r="J82" s="8" t="s">
        <v>649</v>
      </c>
      <c r="K82" s="8" t="s">
        <v>650</v>
      </c>
      <c r="L82" s="8" t="s">
        <v>490</v>
      </c>
      <c r="M82" s="8" t="s">
        <v>157</v>
      </c>
      <c r="N82" s="8">
        <v>5</v>
      </c>
      <c r="O82" s="8" t="s">
        <v>445</v>
      </c>
      <c r="P82" s="8" t="s">
        <v>36</v>
      </c>
      <c r="Q82" s="10" t="s">
        <v>651</v>
      </c>
      <c r="R82" s="11">
        <v>74803150</v>
      </c>
      <c r="S82" s="11">
        <v>1924000</v>
      </c>
      <c r="T82" s="11">
        <v>68212336</v>
      </c>
      <c r="U82" s="11">
        <v>95000000</v>
      </c>
      <c r="V82" s="12" t="s">
        <v>417</v>
      </c>
      <c r="W82" s="11">
        <v>0</v>
      </c>
      <c r="X82" s="11">
        <v>374016</v>
      </c>
      <c r="Y82" s="11">
        <f t="shared" ref="Y82:Y83" si="13">+X82</f>
        <v>374016</v>
      </c>
      <c r="Z82" s="1">
        <f>+X82/R82</f>
        <v>5.0000033421052454E-3</v>
      </c>
      <c r="AA82" s="13"/>
      <c r="AB82" s="10" t="s">
        <v>412</v>
      </c>
    </row>
    <row r="83" spans="1:28" ht="15.75" customHeight="1" x14ac:dyDescent="0.25">
      <c r="A83" s="8" t="s">
        <v>401</v>
      </c>
      <c r="B83" s="8" t="s">
        <v>402</v>
      </c>
      <c r="C83" s="9" t="s">
        <v>403</v>
      </c>
      <c r="D83" s="8" t="s">
        <v>6</v>
      </c>
      <c r="E83" s="8" t="s">
        <v>155</v>
      </c>
      <c r="F83" s="8">
        <v>861</v>
      </c>
      <c r="G83" s="8" t="s">
        <v>652</v>
      </c>
      <c r="H83" s="8">
        <v>27084988</v>
      </c>
      <c r="I83" s="8" t="s">
        <v>653</v>
      </c>
      <c r="J83" s="8" t="s">
        <v>423</v>
      </c>
      <c r="K83" s="8" t="s">
        <v>654</v>
      </c>
      <c r="L83" s="8" t="s">
        <v>408</v>
      </c>
      <c r="M83" s="8" t="s">
        <v>156</v>
      </c>
      <c r="N83" s="8">
        <v>5</v>
      </c>
      <c r="O83" s="8" t="s">
        <v>469</v>
      </c>
      <c r="P83" s="8" t="s">
        <v>49</v>
      </c>
      <c r="Q83" s="10" t="s">
        <v>655</v>
      </c>
      <c r="R83" s="11">
        <v>68220083</v>
      </c>
      <c r="S83" s="11">
        <v>1431000</v>
      </c>
      <c r="T83" s="11">
        <v>64603412</v>
      </c>
      <c r="U83" s="11">
        <v>86639505</v>
      </c>
      <c r="V83" s="12" t="s">
        <v>471</v>
      </c>
      <c r="W83" s="11">
        <v>0</v>
      </c>
      <c r="X83" s="11">
        <v>341100</v>
      </c>
      <c r="Y83" s="11">
        <f t="shared" si="13"/>
        <v>341100</v>
      </c>
      <c r="Z83" s="1">
        <f>+X83/R83</f>
        <v>4.9999939167473598E-3</v>
      </c>
      <c r="AA83" s="13"/>
      <c r="AB83" s="10" t="s">
        <v>412</v>
      </c>
    </row>
    <row r="84" spans="1:28" ht="15.75" customHeight="1" x14ac:dyDescent="0.25">
      <c r="A84" s="8" t="s">
        <v>401</v>
      </c>
      <c r="B84" s="8" t="s">
        <v>402</v>
      </c>
      <c r="C84" s="9" t="s">
        <v>403</v>
      </c>
      <c r="D84" s="8" t="s">
        <v>6</v>
      </c>
      <c r="E84" s="8" t="s">
        <v>155</v>
      </c>
      <c r="F84" s="8">
        <v>861</v>
      </c>
      <c r="G84" s="8" t="s">
        <v>404</v>
      </c>
      <c r="H84" s="8">
        <v>27044755</v>
      </c>
      <c r="I84" s="8" t="s">
        <v>656</v>
      </c>
      <c r="J84" s="8" t="s">
        <v>456</v>
      </c>
      <c r="K84" s="8" t="s">
        <v>407</v>
      </c>
      <c r="L84" s="8" t="s">
        <v>457</v>
      </c>
      <c r="M84" s="8" t="s">
        <v>159</v>
      </c>
      <c r="N84" s="8">
        <v>5</v>
      </c>
      <c r="O84" s="8" t="s">
        <v>458</v>
      </c>
      <c r="P84" s="8" t="s">
        <v>43</v>
      </c>
      <c r="Q84" s="10" t="s">
        <v>657</v>
      </c>
      <c r="R84" s="11">
        <v>53070866</v>
      </c>
      <c r="S84" s="11">
        <v>1450800</v>
      </c>
      <c r="T84" s="11">
        <v>46908793</v>
      </c>
      <c r="U84" s="11">
        <v>67400000</v>
      </c>
      <c r="V84" s="12" t="s">
        <v>566</v>
      </c>
      <c r="W84" s="11">
        <v>48726200</v>
      </c>
      <c r="X84" s="11">
        <v>265354</v>
      </c>
      <c r="Y84" s="11">
        <v>0</v>
      </c>
      <c r="Z84" s="1">
        <f>+X84/R84</f>
        <v>4.9999937818990935E-3</v>
      </c>
      <c r="AA84" s="13"/>
      <c r="AB84" s="10" t="s">
        <v>412</v>
      </c>
    </row>
    <row r="85" spans="1:28" ht="15.75" customHeight="1" x14ac:dyDescent="0.25">
      <c r="A85" s="8" t="s">
        <v>401</v>
      </c>
      <c r="B85" s="8" t="s">
        <v>402</v>
      </c>
      <c r="C85" s="9" t="s">
        <v>403</v>
      </c>
      <c r="D85" s="8" t="s">
        <v>6</v>
      </c>
      <c r="E85" s="8" t="s">
        <v>155</v>
      </c>
      <c r="F85" s="8">
        <v>861</v>
      </c>
      <c r="G85" s="8" t="s">
        <v>404</v>
      </c>
      <c r="H85" s="8">
        <v>27072140</v>
      </c>
      <c r="I85" s="8" t="s">
        <v>658</v>
      </c>
      <c r="J85" s="8" t="s">
        <v>456</v>
      </c>
      <c r="K85" s="8" t="s">
        <v>407</v>
      </c>
      <c r="L85" s="8" t="s">
        <v>457</v>
      </c>
      <c r="M85" s="8" t="s">
        <v>158</v>
      </c>
      <c r="N85" s="8">
        <v>5</v>
      </c>
      <c r="O85" s="8" t="s">
        <v>458</v>
      </c>
      <c r="P85" s="8" t="s">
        <v>43</v>
      </c>
      <c r="Q85" s="10" t="s">
        <v>659</v>
      </c>
      <c r="R85" s="11">
        <v>51763780</v>
      </c>
      <c r="S85" s="11">
        <v>1062800</v>
      </c>
      <c r="T85" s="11">
        <v>46908793</v>
      </c>
      <c r="U85" s="11">
        <v>65740000</v>
      </c>
      <c r="V85" s="12" t="s">
        <v>417</v>
      </c>
      <c r="W85" s="11">
        <v>0</v>
      </c>
      <c r="X85" s="11">
        <v>258819</v>
      </c>
      <c r="Y85" s="11">
        <f>+X85</f>
        <v>258819</v>
      </c>
      <c r="Z85" s="1">
        <f>+X85/R85</f>
        <v>5.000001931852736E-3</v>
      </c>
      <c r="AA85" s="13"/>
      <c r="AB85" s="10" t="s">
        <v>412</v>
      </c>
    </row>
    <row r="86" spans="1:28" ht="15.75" customHeight="1" x14ac:dyDescent="0.25">
      <c r="A86" s="8" t="s">
        <v>401</v>
      </c>
      <c r="B86" s="8" t="s">
        <v>402</v>
      </c>
      <c r="C86" s="9" t="s">
        <v>403</v>
      </c>
      <c r="D86" s="8" t="s">
        <v>6</v>
      </c>
      <c r="E86" s="8" t="s">
        <v>155</v>
      </c>
      <c r="F86" s="8">
        <v>861</v>
      </c>
      <c r="G86" s="8" t="s">
        <v>551</v>
      </c>
      <c r="H86" s="8">
        <v>27044934</v>
      </c>
      <c r="I86" s="8" t="s">
        <v>660</v>
      </c>
      <c r="J86" s="8" t="s">
        <v>490</v>
      </c>
      <c r="K86" s="8" t="s">
        <v>407</v>
      </c>
      <c r="L86" s="8" t="s">
        <v>457</v>
      </c>
      <c r="M86" s="8" t="s">
        <v>160</v>
      </c>
      <c r="N86" s="8">
        <v>5</v>
      </c>
      <c r="O86" s="8" t="s">
        <v>461</v>
      </c>
      <c r="P86" s="8" t="s">
        <v>45</v>
      </c>
      <c r="Q86" s="10" t="s">
        <v>661</v>
      </c>
      <c r="R86" s="11">
        <v>75669291</v>
      </c>
      <c r="S86" s="11">
        <v>1831200</v>
      </c>
      <c r="T86" s="11">
        <v>64953412</v>
      </c>
      <c r="U86" s="11">
        <v>96100000</v>
      </c>
      <c r="V86" s="12" t="s">
        <v>662</v>
      </c>
      <c r="W86" s="11">
        <v>0</v>
      </c>
      <c r="X86" s="11">
        <v>378346</v>
      </c>
      <c r="Y86" s="11">
        <f>X86/2</f>
        <v>189173</v>
      </c>
      <c r="Z86" s="1">
        <f>+X86/R86</f>
        <v>4.9999939869926893E-3</v>
      </c>
      <c r="AA86" s="13"/>
      <c r="AB86" s="10" t="s">
        <v>518</v>
      </c>
    </row>
    <row r="87" spans="1:28" ht="15.75" customHeight="1" x14ac:dyDescent="0.25">
      <c r="A87" s="8" t="s">
        <v>401</v>
      </c>
      <c r="B87" s="8" t="s">
        <v>402</v>
      </c>
      <c r="C87" s="9" t="s">
        <v>403</v>
      </c>
      <c r="D87" s="8" t="s">
        <v>6</v>
      </c>
      <c r="E87" s="8" t="s">
        <v>162</v>
      </c>
      <c r="F87" s="8">
        <v>265</v>
      </c>
      <c r="G87" s="8" t="s">
        <v>663</v>
      </c>
      <c r="H87" s="8">
        <v>23142380</v>
      </c>
      <c r="I87" s="8" t="s">
        <v>664</v>
      </c>
      <c r="J87" s="8" t="s">
        <v>665</v>
      </c>
      <c r="K87" s="8" t="s">
        <v>489</v>
      </c>
      <c r="L87" s="8" t="s">
        <v>588</v>
      </c>
      <c r="M87" s="8" t="s">
        <v>166</v>
      </c>
      <c r="N87" s="8">
        <v>7</v>
      </c>
      <c r="O87" s="8" t="s">
        <v>545</v>
      </c>
      <c r="P87" s="8" t="s">
        <v>97</v>
      </c>
      <c r="Q87" s="10" t="s">
        <v>666</v>
      </c>
      <c r="R87" s="11">
        <v>71313386</v>
      </c>
      <c r="S87" s="11">
        <v>1781000</v>
      </c>
      <c r="T87" s="11">
        <v>63159842</v>
      </c>
      <c r="U87" s="11">
        <v>90568000</v>
      </c>
      <c r="V87" s="12" t="s">
        <v>576</v>
      </c>
      <c r="W87" s="11">
        <v>0</v>
      </c>
      <c r="X87" s="11">
        <f>+R87*0.7%</f>
        <v>499193.70199999993</v>
      </c>
      <c r="Y87" s="11">
        <f>+X87</f>
        <v>499193.70199999993</v>
      </c>
      <c r="Z87" s="1">
        <f>+X87/R87</f>
        <v>6.9999999999999993E-3</v>
      </c>
      <c r="AA87" s="13"/>
      <c r="AB87" s="10" t="s">
        <v>412</v>
      </c>
    </row>
    <row r="88" spans="1:28" ht="15.75" customHeight="1" x14ac:dyDescent="0.25">
      <c r="A88" s="8" t="s">
        <v>401</v>
      </c>
      <c r="B88" s="8" t="s">
        <v>402</v>
      </c>
      <c r="C88" s="9" t="s">
        <v>403</v>
      </c>
      <c r="D88" s="8" t="s">
        <v>6</v>
      </c>
      <c r="E88" s="8" t="s">
        <v>162</v>
      </c>
      <c r="F88" s="8">
        <v>265</v>
      </c>
      <c r="G88" s="8" t="s">
        <v>404</v>
      </c>
      <c r="H88" s="8">
        <v>27079189</v>
      </c>
      <c r="I88" s="8" t="s">
        <v>667</v>
      </c>
      <c r="J88" s="8" t="s">
        <v>457</v>
      </c>
      <c r="K88" s="8" t="s">
        <v>407</v>
      </c>
      <c r="L88" s="8" t="s">
        <v>415</v>
      </c>
      <c r="M88" s="8" t="s">
        <v>164</v>
      </c>
      <c r="N88" s="8">
        <v>7</v>
      </c>
      <c r="O88" s="8" t="s">
        <v>466</v>
      </c>
      <c r="P88" s="8" t="s">
        <v>51</v>
      </c>
      <c r="Q88" s="10" t="s">
        <v>668</v>
      </c>
      <c r="R88" s="11">
        <v>64811024</v>
      </c>
      <c r="S88" s="11">
        <v>1814000</v>
      </c>
      <c r="T88" s="11">
        <v>58107349</v>
      </c>
      <c r="U88" s="11">
        <v>82310000</v>
      </c>
      <c r="V88" s="12" t="s">
        <v>554</v>
      </c>
      <c r="W88" s="11">
        <v>45570945</v>
      </c>
      <c r="X88" s="11">
        <f>+R88*0.7%</f>
        <v>453677.16799999995</v>
      </c>
      <c r="Y88" s="11">
        <v>0</v>
      </c>
      <c r="Z88" s="1">
        <f>+X88/R88</f>
        <v>6.9999999999999993E-3</v>
      </c>
      <c r="AA88" s="13"/>
      <c r="AB88" s="10" t="s">
        <v>412</v>
      </c>
    </row>
    <row r="89" spans="1:28" ht="15.75" customHeight="1" x14ac:dyDescent="0.25">
      <c r="A89" s="8" t="s">
        <v>401</v>
      </c>
      <c r="B89" s="8" t="s">
        <v>402</v>
      </c>
      <c r="C89" s="9" t="s">
        <v>403</v>
      </c>
      <c r="D89" s="8" t="s">
        <v>6</v>
      </c>
      <c r="E89" s="8" t="s">
        <v>162</v>
      </c>
      <c r="F89" s="8">
        <v>265</v>
      </c>
      <c r="G89" s="8" t="s">
        <v>496</v>
      </c>
      <c r="H89" s="8">
        <v>27059833</v>
      </c>
      <c r="I89" s="8" t="s">
        <v>669</v>
      </c>
      <c r="J89" s="8" t="s">
        <v>406</v>
      </c>
      <c r="K89" s="8" t="s">
        <v>407</v>
      </c>
      <c r="L89" s="8" t="s">
        <v>609</v>
      </c>
      <c r="M89" s="8" t="s">
        <v>165</v>
      </c>
      <c r="N89" s="8">
        <v>7</v>
      </c>
      <c r="O89" s="8" t="s">
        <v>499</v>
      </c>
      <c r="P89" s="8" t="s">
        <v>66</v>
      </c>
      <c r="Q89" s="10" t="s">
        <v>670</v>
      </c>
      <c r="R89" s="11">
        <v>76346457</v>
      </c>
      <c r="S89" s="11">
        <v>1781000</v>
      </c>
      <c r="T89" s="11">
        <v>69655906</v>
      </c>
      <c r="U89" s="11">
        <v>96960000</v>
      </c>
      <c r="V89" s="12" t="s">
        <v>417</v>
      </c>
      <c r="W89" s="11">
        <v>0</v>
      </c>
      <c r="X89" s="11">
        <f>+R89*0.7%</f>
        <v>534425.19899999991</v>
      </c>
      <c r="Y89" s="11">
        <f>+X89</f>
        <v>534425.19899999991</v>
      </c>
      <c r="Z89" s="1">
        <f>+X89/R89</f>
        <v>6.9999999999999984E-3</v>
      </c>
      <c r="AA89" s="13"/>
      <c r="AB89" s="10" t="s">
        <v>412</v>
      </c>
    </row>
    <row r="90" spans="1:28" ht="15.75" customHeight="1" x14ac:dyDescent="0.25">
      <c r="A90" s="8" t="s">
        <v>401</v>
      </c>
      <c r="B90" s="8" t="s">
        <v>402</v>
      </c>
      <c r="C90" s="9" t="s">
        <v>403</v>
      </c>
      <c r="D90" s="8" t="s">
        <v>6</v>
      </c>
      <c r="E90" s="8" t="s">
        <v>162</v>
      </c>
      <c r="F90" s="8">
        <v>265</v>
      </c>
      <c r="G90" s="8" t="s">
        <v>496</v>
      </c>
      <c r="H90" s="8">
        <v>27085220</v>
      </c>
      <c r="I90" s="8" t="s">
        <v>671</v>
      </c>
      <c r="J90" s="8" t="s">
        <v>408</v>
      </c>
      <c r="K90" s="8" t="s">
        <v>407</v>
      </c>
      <c r="L90" s="8" t="s">
        <v>444</v>
      </c>
      <c r="M90" s="8" t="s">
        <v>163</v>
      </c>
      <c r="N90" s="8">
        <v>7</v>
      </c>
      <c r="O90" s="8" t="s">
        <v>469</v>
      </c>
      <c r="P90" s="8" t="s">
        <v>49</v>
      </c>
      <c r="Q90" s="10" t="s">
        <v>672</v>
      </c>
      <c r="R90" s="11">
        <v>70866142</v>
      </c>
      <c r="S90" s="11">
        <v>1814000</v>
      </c>
      <c r="T90" s="11">
        <v>63159842</v>
      </c>
      <c r="U90" s="11">
        <v>90000000</v>
      </c>
      <c r="V90" s="12" t="s">
        <v>576</v>
      </c>
      <c r="W90" s="11">
        <v>90000000</v>
      </c>
      <c r="X90" s="11">
        <f>+R90*0.7%</f>
        <v>496062.99399999995</v>
      </c>
      <c r="Y90" s="11">
        <v>0</v>
      </c>
      <c r="Z90" s="1">
        <f>+X90/R90</f>
        <v>6.9999999999999993E-3</v>
      </c>
      <c r="AA90" s="13"/>
      <c r="AB90" s="10" t="s">
        <v>412</v>
      </c>
    </row>
    <row r="91" spans="1:28" ht="15.75" customHeight="1" x14ac:dyDescent="0.25">
      <c r="A91" s="8" t="s">
        <v>401</v>
      </c>
      <c r="B91" s="8" t="s">
        <v>402</v>
      </c>
      <c r="C91" s="9" t="s">
        <v>403</v>
      </c>
      <c r="D91" s="8" t="s">
        <v>6</v>
      </c>
      <c r="E91" s="8" t="s">
        <v>162</v>
      </c>
      <c r="F91" s="8">
        <v>265</v>
      </c>
      <c r="G91" s="8" t="s">
        <v>496</v>
      </c>
      <c r="H91" s="8">
        <v>27071611</v>
      </c>
      <c r="I91" s="8" t="s">
        <v>673</v>
      </c>
      <c r="J91" s="8" t="s">
        <v>456</v>
      </c>
      <c r="K91" s="8" t="s">
        <v>407</v>
      </c>
      <c r="L91" s="8" t="s">
        <v>408</v>
      </c>
      <c r="M91" s="8" t="s">
        <v>167</v>
      </c>
      <c r="N91" s="8">
        <v>7</v>
      </c>
      <c r="O91" s="8" t="s">
        <v>458</v>
      </c>
      <c r="P91" s="8" t="s">
        <v>43</v>
      </c>
      <c r="Q91" s="10" t="s">
        <v>674</v>
      </c>
      <c r="R91" s="11">
        <v>52874409</v>
      </c>
      <c r="S91" s="11">
        <v>712800</v>
      </c>
      <c r="T91" s="11">
        <v>46908793</v>
      </c>
      <c r="U91" s="11">
        <v>67150500</v>
      </c>
      <c r="V91" s="12" t="s">
        <v>576</v>
      </c>
      <c r="W91" s="11">
        <v>25150500</v>
      </c>
      <c r="X91" s="11">
        <f>+R91*0.7%</f>
        <v>370120.86299999995</v>
      </c>
      <c r="Y91" s="11">
        <v>0</v>
      </c>
      <c r="Z91" s="1">
        <f>+X91/R91</f>
        <v>6.9999999999999993E-3</v>
      </c>
      <c r="AA91" s="13"/>
      <c r="AB91" s="10" t="s">
        <v>412</v>
      </c>
    </row>
    <row r="92" spans="1:28" ht="15.75" customHeight="1" x14ac:dyDescent="0.25">
      <c r="A92" s="8" t="s">
        <v>401</v>
      </c>
      <c r="B92" s="8" t="s">
        <v>402</v>
      </c>
      <c r="C92" s="9" t="s">
        <v>403</v>
      </c>
      <c r="D92" s="8" t="s">
        <v>6</v>
      </c>
      <c r="E92" s="8" t="s">
        <v>162</v>
      </c>
      <c r="F92" s="8">
        <v>265</v>
      </c>
      <c r="G92" s="8" t="s">
        <v>404</v>
      </c>
      <c r="H92" s="8">
        <v>27061307</v>
      </c>
      <c r="I92" s="8" t="s">
        <v>675</v>
      </c>
      <c r="J92" s="8" t="s">
        <v>609</v>
      </c>
      <c r="K92" s="8" t="s">
        <v>415</v>
      </c>
      <c r="L92" s="8" t="s">
        <v>414</v>
      </c>
      <c r="M92" s="8" t="s">
        <v>169</v>
      </c>
      <c r="N92" s="8">
        <v>7</v>
      </c>
      <c r="O92" s="8" t="s">
        <v>568</v>
      </c>
      <c r="P92" s="8" t="s">
        <v>101</v>
      </c>
      <c r="Q92" s="10" t="s">
        <v>676</v>
      </c>
      <c r="R92" s="11">
        <v>158274336</v>
      </c>
      <c r="S92" s="11">
        <v>1199600</v>
      </c>
      <c r="T92" s="11">
        <v>141761947</v>
      </c>
      <c r="U92" s="11">
        <v>178850000</v>
      </c>
      <c r="V92" s="12" t="s">
        <v>554</v>
      </c>
      <c r="W92" s="11">
        <v>0</v>
      </c>
      <c r="X92" s="11">
        <f>+R92*0.7%</f>
        <v>1107920.352</v>
      </c>
      <c r="Y92" s="11">
        <f t="shared" ref="Y92:Y98" si="14">+X92</f>
        <v>1107920.352</v>
      </c>
      <c r="Z92" s="1">
        <f>+X92/R92</f>
        <v>7.0000000000000001E-3</v>
      </c>
      <c r="AA92" s="13"/>
      <c r="AB92" s="10" t="s">
        <v>412</v>
      </c>
    </row>
    <row r="93" spans="1:28" ht="15.75" customHeight="1" x14ac:dyDescent="0.25">
      <c r="A93" s="8" t="s">
        <v>401</v>
      </c>
      <c r="B93" s="8" t="s">
        <v>402</v>
      </c>
      <c r="C93" s="9" t="s">
        <v>403</v>
      </c>
      <c r="D93" s="8" t="s">
        <v>6</v>
      </c>
      <c r="E93" s="8" t="s">
        <v>162</v>
      </c>
      <c r="F93" s="8">
        <v>265</v>
      </c>
      <c r="G93" s="8" t="s">
        <v>557</v>
      </c>
      <c r="H93" s="8">
        <v>27047503</v>
      </c>
      <c r="I93" s="8" t="s">
        <v>677</v>
      </c>
      <c r="J93" s="8" t="s">
        <v>588</v>
      </c>
      <c r="K93" s="8" t="s">
        <v>407</v>
      </c>
      <c r="L93" s="8" t="s">
        <v>456</v>
      </c>
      <c r="M93" s="8" t="s">
        <v>168</v>
      </c>
      <c r="N93" s="8">
        <v>7</v>
      </c>
      <c r="O93" s="8" t="s">
        <v>461</v>
      </c>
      <c r="P93" s="8" t="s">
        <v>45</v>
      </c>
      <c r="Q93" s="10" t="s">
        <v>678</v>
      </c>
      <c r="R93" s="11">
        <v>70911024</v>
      </c>
      <c r="S93" s="11">
        <v>1288200</v>
      </c>
      <c r="T93" s="11">
        <v>64953412</v>
      </c>
      <c r="U93" s="11">
        <v>90057000</v>
      </c>
      <c r="V93" s="12" t="s">
        <v>411</v>
      </c>
      <c r="W93" s="11">
        <v>0</v>
      </c>
      <c r="X93" s="11">
        <f>+R93*0.7%</f>
        <v>496377.16799999995</v>
      </c>
      <c r="Y93" s="11">
        <f t="shared" si="14"/>
        <v>496377.16799999995</v>
      </c>
      <c r="Z93" s="1">
        <f>+X93/R93</f>
        <v>6.9999999999999993E-3</v>
      </c>
      <c r="AA93" s="13"/>
      <c r="AB93" s="10" t="s">
        <v>412</v>
      </c>
    </row>
    <row r="94" spans="1:28" ht="15.75" customHeight="1" x14ac:dyDescent="0.25">
      <c r="A94" s="8" t="s">
        <v>401</v>
      </c>
      <c r="B94" s="8" t="s">
        <v>402</v>
      </c>
      <c r="C94" s="9" t="s">
        <v>403</v>
      </c>
      <c r="D94" s="8" t="s">
        <v>6</v>
      </c>
      <c r="E94" s="8" t="s">
        <v>171</v>
      </c>
      <c r="F94" s="8">
        <v>297</v>
      </c>
      <c r="G94" s="8" t="s">
        <v>679</v>
      </c>
      <c r="H94" s="8">
        <v>27036266</v>
      </c>
      <c r="I94" s="8" t="s">
        <v>680</v>
      </c>
      <c r="J94" s="8" t="s">
        <v>681</v>
      </c>
      <c r="K94" s="8" t="s">
        <v>456</v>
      </c>
      <c r="L94" s="8" t="s">
        <v>440</v>
      </c>
      <c r="M94" s="8" t="s">
        <v>172</v>
      </c>
      <c r="N94" s="8">
        <v>4</v>
      </c>
      <c r="O94" s="8" t="s">
        <v>682</v>
      </c>
      <c r="P94" s="8" t="s">
        <v>134</v>
      </c>
      <c r="Q94" s="10" t="s">
        <v>683</v>
      </c>
      <c r="R94" s="11">
        <v>62731092</v>
      </c>
      <c r="S94" s="11">
        <v>4049600</v>
      </c>
      <c r="T94" s="11">
        <v>51027540</v>
      </c>
      <c r="U94" s="11">
        <v>74650000</v>
      </c>
      <c r="V94" s="12" t="s">
        <v>684</v>
      </c>
      <c r="W94" s="11">
        <v>0</v>
      </c>
      <c r="X94" s="11">
        <v>313655</v>
      </c>
      <c r="Y94" s="11">
        <f t="shared" si="14"/>
        <v>313655</v>
      </c>
      <c r="Z94" s="1">
        <f>+X94/R94</f>
        <v>4.9999926671131442E-3</v>
      </c>
      <c r="AA94" s="13"/>
      <c r="AB94" s="10" t="s">
        <v>412</v>
      </c>
    </row>
    <row r="95" spans="1:28" ht="15.75" customHeight="1" x14ac:dyDescent="0.25">
      <c r="A95" s="8" t="s">
        <v>401</v>
      </c>
      <c r="B95" s="8" t="s">
        <v>402</v>
      </c>
      <c r="C95" s="9" t="s">
        <v>403</v>
      </c>
      <c r="D95" s="8" t="s">
        <v>6</v>
      </c>
      <c r="E95" s="8" t="s">
        <v>171</v>
      </c>
      <c r="F95" s="8">
        <v>297</v>
      </c>
      <c r="G95" s="8" t="s">
        <v>404</v>
      </c>
      <c r="H95" s="8">
        <v>27076030</v>
      </c>
      <c r="I95" s="8" t="s">
        <v>685</v>
      </c>
      <c r="J95" s="8" t="s">
        <v>428</v>
      </c>
      <c r="K95" s="8" t="s">
        <v>407</v>
      </c>
      <c r="L95" s="8" t="s">
        <v>444</v>
      </c>
      <c r="M95" s="8" t="s">
        <v>174</v>
      </c>
      <c r="N95" s="8">
        <v>4</v>
      </c>
      <c r="O95" s="8" t="s">
        <v>686</v>
      </c>
      <c r="P95" s="8" t="s">
        <v>30</v>
      </c>
      <c r="Q95" s="10" t="s">
        <v>687</v>
      </c>
      <c r="R95" s="11">
        <v>117559055</v>
      </c>
      <c r="S95" s="11">
        <v>1131200</v>
      </c>
      <c r="T95" s="11">
        <v>103457480</v>
      </c>
      <c r="U95" s="11">
        <v>149300000</v>
      </c>
      <c r="V95" s="12" t="s">
        <v>566</v>
      </c>
      <c r="W95" s="11">
        <v>0</v>
      </c>
      <c r="X95" s="11">
        <v>587795</v>
      </c>
      <c r="Y95" s="11">
        <f t="shared" si="14"/>
        <v>587795</v>
      </c>
      <c r="Z95" s="1">
        <f>+X95/R95</f>
        <v>4.9999976607501655E-3</v>
      </c>
      <c r="AA95" s="13"/>
      <c r="AB95" s="10" t="s">
        <v>412</v>
      </c>
    </row>
    <row r="96" spans="1:28" ht="15.75" customHeight="1" x14ac:dyDescent="0.25">
      <c r="A96" s="8" t="s">
        <v>401</v>
      </c>
      <c r="B96" s="8" t="s">
        <v>402</v>
      </c>
      <c r="C96" s="9" t="s">
        <v>403</v>
      </c>
      <c r="D96" s="8" t="s">
        <v>6</v>
      </c>
      <c r="E96" s="8" t="s">
        <v>171</v>
      </c>
      <c r="F96" s="8">
        <v>297</v>
      </c>
      <c r="G96" s="8" t="s">
        <v>496</v>
      </c>
      <c r="H96" s="8">
        <v>27073791</v>
      </c>
      <c r="I96" s="8" t="s">
        <v>688</v>
      </c>
      <c r="J96" s="8" t="s">
        <v>422</v>
      </c>
      <c r="K96" s="8" t="s">
        <v>407</v>
      </c>
      <c r="L96" s="8" t="s">
        <v>408</v>
      </c>
      <c r="M96" s="8" t="s">
        <v>173</v>
      </c>
      <c r="N96" s="8">
        <v>4</v>
      </c>
      <c r="O96" s="8" t="s">
        <v>461</v>
      </c>
      <c r="P96" s="8" t="s">
        <v>45</v>
      </c>
      <c r="Q96" s="10" t="s">
        <v>689</v>
      </c>
      <c r="R96" s="11">
        <v>71968504</v>
      </c>
      <c r="S96" s="11">
        <v>1131200</v>
      </c>
      <c r="T96" s="11">
        <v>64953412</v>
      </c>
      <c r="U96" s="11">
        <v>91400000</v>
      </c>
      <c r="V96" s="12" t="s">
        <v>554</v>
      </c>
      <c r="W96" s="11">
        <v>0</v>
      </c>
      <c r="X96" s="11">
        <v>359843</v>
      </c>
      <c r="Y96" s="11">
        <f t="shared" si="14"/>
        <v>359843</v>
      </c>
      <c r="Z96" s="1">
        <f>+X96/R96</f>
        <v>5.0000066695842392E-3</v>
      </c>
      <c r="AA96" s="13"/>
      <c r="AB96" s="10" t="s">
        <v>412</v>
      </c>
    </row>
    <row r="97" spans="1:28" ht="15.75" customHeight="1" x14ac:dyDescent="0.25">
      <c r="A97" s="8" t="s">
        <v>401</v>
      </c>
      <c r="B97" s="8" t="s">
        <v>402</v>
      </c>
      <c r="C97" s="9" t="s">
        <v>403</v>
      </c>
      <c r="D97" s="8" t="s">
        <v>6</v>
      </c>
      <c r="E97" s="8" t="s">
        <v>176</v>
      </c>
      <c r="F97" s="8">
        <v>324</v>
      </c>
      <c r="G97" s="8" t="s">
        <v>404</v>
      </c>
      <c r="H97" s="8">
        <v>27052697</v>
      </c>
      <c r="I97" s="8" t="s">
        <v>690</v>
      </c>
      <c r="J97" s="8" t="s">
        <v>452</v>
      </c>
      <c r="K97" s="8" t="s">
        <v>414</v>
      </c>
      <c r="L97" s="8" t="s">
        <v>609</v>
      </c>
      <c r="M97" s="8" t="s">
        <v>177</v>
      </c>
      <c r="N97" s="8">
        <v>6</v>
      </c>
      <c r="O97" s="8" t="s">
        <v>409</v>
      </c>
      <c r="P97" s="8" t="s">
        <v>21</v>
      </c>
      <c r="Q97" s="10" t="s">
        <v>691</v>
      </c>
      <c r="R97" s="11">
        <v>82950632</v>
      </c>
      <c r="S97" s="11">
        <v>1781000</v>
      </c>
      <c r="T97" s="11">
        <v>77595538</v>
      </c>
      <c r="U97" s="11">
        <v>105347303</v>
      </c>
      <c r="V97" s="12" t="s">
        <v>426</v>
      </c>
      <c r="W97" s="11">
        <v>0</v>
      </c>
      <c r="X97" s="11">
        <f>R97*0.7%</f>
        <v>580654.42399999988</v>
      </c>
      <c r="Y97" s="11">
        <f t="shared" si="14"/>
        <v>580654.42399999988</v>
      </c>
      <c r="Z97" s="1">
        <f>+X97/R97</f>
        <v>6.9999999999999984E-3</v>
      </c>
      <c r="AA97" s="13"/>
      <c r="AB97" s="10" t="s">
        <v>412</v>
      </c>
    </row>
    <row r="98" spans="1:28" ht="15.75" customHeight="1" x14ac:dyDescent="0.25">
      <c r="A98" s="8" t="s">
        <v>401</v>
      </c>
      <c r="B98" s="8" t="s">
        <v>402</v>
      </c>
      <c r="C98" s="9" t="s">
        <v>403</v>
      </c>
      <c r="D98" s="8" t="s">
        <v>6</v>
      </c>
      <c r="E98" s="8" t="s">
        <v>176</v>
      </c>
      <c r="F98" s="8">
        <v>324</v>
      </c>
      <c r="G98" s="8" t="s">
        <v>404</v>
      </c>
      <c r="H98" s="8">
        <v>27050654</v>
      </c>
      <c r="I98" s="8" t="s">
        <v>692</v>
      </c>
      <c r="J98" s="8" t="s">
        <v>489</v>
      </c>
      <c r="K98" s="8" t="s">
        <v>444</v>
      </c>
      <c r="L98" s="8" t="s">
        <v>609</v>
      </c>
      <c r="M98" s="8" t="s">
        <v>178</v>
      </c>
      <c r="N98" s="8">
        <v>6</v>
      </c>
      <c r="O98" s="8" t="s">
        <v>469</v>
      </c>
      <c r="P98" s="8" t="s">
        <v>49</v>
      </c>
      <c r="Q98" s="10" t="s">
        <v>693</v>
      </c>
      <c r="R98" s="11">
        <v>71080712</v>
      </c>
      <c r="S98" s="11">
        <v>1981000</v>
      </c>
      <c r="T98" s="11">
        <v>64603412</v>
      </c>
      <c r="U98" s="11">
        <v>90272504</v>
      </c>
      <c r="V98" s="12" t="s">
        <v>417</v>
      </c>
      <c r="W98" s="11">
        <v>0</v>
      </c>
      <c r="X98" s="11">
        <f>R98*0.7%</f>
        <v>497564.98399999994</v>
      </c>
      <c r="Y98" s="11">
        <f t="shared" si="14"/>
        <v>497564.98399999994</v>
      </c>
      <c r="Z98" s="1">
        <f>+X98/R98</f>
        <v>6.9999999999999993E-3</v>
      </c>
      <c r="AA98" s="13"/>
      <c r="AB98" s="10" t="s">
        <v>412</v>
      </c>
    </row>
    <row r="99" spans="1:28" ht="15.75" customHeight="1" x14ac:dyDescent="0.25">
      <c r="A99" s="8" t="s">
        <v>401</v>
      </c>
      <c r="B99" s="8" t="s">
        <v>402</v>
      </c>
      <c r="C99" s="9" t="s">
        <v>403</v>
      </c>
      <c r="D99" s="8" t="s">
        <v>6</v>
      </c>
      <c r="E99" s="8" t="s">
        <v>176</v>
      </c>
      <c r="F99" s="8">
        <v>324</v>
      </c>
      <c r="G99" s="8" t="s">
        <v>496</v>
      </c>
      <c r="H99" s="8">
        <v>27078448</v>
      </c>
      <c r="I99" s="8" t="s">
        <v>694</v>
      </c>
      <c r="J99" s="8" t="s">
        <v>414</v>
      </c>
      <c r="K99" s="8" t="s">
        <v>407</v>
      </c>
      <c r="L99" s="8" t="s">
        <v>408</v>
      </c>
      <c r="M99" s="8" t="s">
        <v>179</v>
      </c>
      <c r="N99" s="8">
        <v>6</v>
      </c>
      <c r="O99" s="8" t="s">
        <v>429</v>
      </c>
      <c r="P99" s="8" t="s">
        <v>27</v>
      </c>
      <c r="Q99" s="10" t="s">
        <v>695</v>
      </c>
      <c r="R99" s="11">
        <v>45513546</v>
      </c>
      <c r="S99" s="11">
        <v>712800</v>
      </c>
      <c r="T99" s="11">
        <v>41856299</v>
      </c>
      <c r="U99" s="11">
        <v>57802203</v>
      </c>
      <c r="V99" s="12" t="s">
        <v>411</v>
      </c>
      <c r="W99" s="11">
        <v>55294203</v>
      </c>
      <c r="X99" s="11">
        <f>R99*0.7%</f>
        <v>318594.82199999999</v>
      </c>
      <c r="Y99" s="11">
        <v>0</v>
      </c>
      <c r="Z99" s="1">
        <f>+X99/R99</f>
        <v>6.9999999999999993E-3</v>
      </c>
      <c r="AA99" s="13"/>
      <c r="AB99" s="10" t="s">
        <v>412</v>
      </c>
    </row>
    <row r="100" spans="1:28" ht="15.75" customHeight="1" x14ac:dyDescent="0.25">
      <c r="A100" s="8" t="s">
        <v>401</v>
      </c>
      <c r="B100" s="8" t="s">
        <v>402</v>
      </c>
      <c r="C100" s="9" t="s">
        <v>403</v>
      </c>
      <c r="D100" s="8" t="s">
        <v>6</v>
      </c>
      <c r="E100" s="8" t="s">
        <v>176</v>
      </c>
      <c r="F100" s="8">
        <v>324</v>
      </c>
      <c r="G100" s="8" t="s">
        <v>404</v>
      </c>
      <c r="H100" s="8">
        <v>27072234</v>
      </c>
      <c r="I100" s="8" t="s">
        <v>696</v>
      </c>
      <c r="J100" s="8" t="s">
        <v>456</v>
      </c>
      <c r="K100" s="8" t="s">
        <v>407</v>
      </c>
      <c r="L100" s="8" t="s">
        <v>408</v>
      </c>
      <c r="M100" s="8" t="s">
        <v>180</v>
      </c>
      <c r="N100" s="8">
        <v>6</v>
      </c>
      <c r="O100" s="8" t="s">
        <v>458</v>
      </c>
      <c r="P100" s="8" t="s">
        <v>43</v>
      </c>
      <c r="Q100" s="10" t="s">
        <v>697</v>
      </c>
      <c r="R100" s="11">
        <v>52400891</v>
      </c>
      <c r="S100" s="11">
        <v>1062800</v>
      </c>
      <c r="T100" s="11">
        <v>46908793</v>
      </c>
      <c r="U100" s="11">
        <v>66549132</v>
      </c>
      <c r="V100" s="12" t="s">
        <v>554</v>
      </c>
      <c r="W100" s="11">
        <v>66549132</v>
      </c>
      <c r="X100" s="11">
        <f>R100*0.7%</f>
        <v>366806.23699999996</v>
      </c>
      <c r="Y100" s="11">
        <v>0</v>
      </c>
      <c r="Z100" s="1">
        <f>+X100/R100</f>
        <v>6.9999999999999993E-3</v>
      </c>
      <c r="AA100" s="13"/>
      <c r="AB100" s="10" t="s">
        <v>412</v>
      </c>
    </row>
    <row r="101" spans="1:28" ht="15.75" customHeight="1" x14ac:dyDescent="0.25">
      <c r="A101" s="8" t="s">
        <v>401</v>
      </c>
      <c r="B101" s="8" t="s">
        <v>402</v>
      </c>
      <c r="C101" s="9" t="s">
        <v>403</v>
      </c>
      <c r="D101" s="8" t="s">
        <v>6</v>
      </c>
      <c r="E101" s="8" t="s">
        <v>176</v>
      </c>
      <c r="F101" s="8">
        <v>324</v>
      </c>
      <c r="G101" s="8" t="s">
        <v>496</v>
      </c>
      <c r="H101" s="8">
        <v>27068627</v>
      </c>
      <c r="I101" s="8" t="s">
        <v>698</v>
      </c>
      <c r="J101" s="8" t="s">
        <v>440</v>
      </c>
      <c r="K101" s="8" t="s">
        <v>428</v>
      </c>
      <c r="L101" s="8" t="s">
        <v>456</v>
      </c>
      <c r="M101" s="8" t="s">
        <v>182</v>
      </c>
      <c r="N101" s="8">
        <v>6</v>
      </c>
      <c r="O101" s="8" t="s">
        <v>441</v>
      </c>
      <c r="P101" s="8" t="s">
        <v>30</v>
      </c>
      <c r="Q101" s="10" t="s">
        <v>699</v>
      </c>
      <c r="R101" s="11">
        <v>134422392</v>
      </c>
      <c r="S101" s="11">
        <v>1299600</v>
      </c>
      <c r="T101" s="11">
        <v>127425664</v>
      </c>
      <c r="U101" s="11">
        <v>151897303</v>
      </c>
      <c r="V101" s="12" t="s">
        <v>471</v>
      </c>
      <c r="W101" s="11">
        <v>0</v>
      </c>
      <c r="X101" s="11">
        <f>R101*0.7%</f>
        <v>940956.74399999995</v>
      </c>
      <c r="Y101" s="11">
        <f t="shared" ref="Y101:Y102" si="15">+X101</f>
        <v>940956.74399999995</v>
      </c>
      <c r="Z101" s="1">
        <f>+X101/R101</f>
        <v>6.9999999999999993E-3</v>
      </c>
      <c r="AA101" s="13"/>
      <c r="AB101" s="10" t="s">
        <v>412</v>
      </c>
    </row>
    <row r="102" spans="1:28" ht="15.75" customHeight="1" x14ac:dyDescent="0.25">
      <c r="A102" s="8" t="s">
        <v>401</v>
      </c>
      <c r="B102" s="8" t="s">
        <v>402</v>
      </c>
      <c r="C102" s="9" t="s">
        <v>403</v>
      </c>
      <c r="D102" s="8" t="s">
        <v>6</v>
      </c>
      <c r="E102" s="8" t="s">
        <v>176</v>
      </c>
      <c r="F102" s="8" t="s">
        <v>700</v>
      </c>
      <c r="G102" s="8" t="s">
        <v>557</v>
      </c>
      <c r="H102" s="8">
        <v>26996030</v>
      </c>
      <c r="I102" s="8" t="s">
        <v>701</v>
      </c>
      <c r="J102" s="8" t="s">
        <v>665</v>
      </c>
      <c r="K102" s="8" t="s">
        <v>407</v>
      </c>
      <c r="L102" s="8" t="s">
        <v>649</v>
      </c>
      <c r="M102" s="8" t="s">
        <v>181</v>
      </c>
      <c r="N102" s="8">
        <v>6</v>
      </c>
      <c r="O102" s="8" t="s">
        <v>702</v>
      </c>
      <c r="P102" s="8" t="s">
        <v>108</v>
      </c>
      <c r="Q102" s="10" t="s">
        <v>703</v>
      </c>
      <c r="R102" s="11">
        <v>86903096</v>
      </c>
      <c r="S102" s="11">
        <v>1285600</v>
      </c>
      <c r="T102" s="11">
        <v>82276247</v>
      </c>
      <c r="U102" s="11">
        <v>110366932</v>
      </c>
      <c r="V102" s="12" t="s">
        <v>471</v>
      </c>
      <c r="W102" s="11">
        <v>0</v>
      </c>
      <c r="X102" s="11">
        <f>R102*0.7%</f>
        <v>608321.6719999999</v>
      </c>
      <c r="Y102" s="11">
        <f t="shared" si="15"/>
        <v>608321.6719999999</v>
      </c>
      <c r="Z102" s="1">
        <f>+X102/R102</f>
        <v>6.9999999999999993E-3</v>
      </c>
      <c r="AA102" s="13"/>
      <c r="AB102" s="10" t="s">
        <v>412</v>
      </c>
    </row>
    <row r="103" spans="1:28" ht="15.75" customHeight="1" x14ac:dyDescent="0.25">
      <c r="A103" s="8" t="s">
        <v>401</v>
      </c>
      <c r="B103" s="8" t="s">
        <v>402</v>
      </c>
      <c r="C103" s="9" t="s">
        <v>403</v>
      </c>
      <c r="D103" s="8" t="s">
        <v>6</v>
      </c>
      <c r="E103" s="8" t="s">
        <v>184</v>
      </c>
      <c r="F103" s="8">
        <v>1076</v>
      </c>
      <c r="G103" s="8" t="s">
        <v>404</v>
      </c>
      <c r="H103" s="8">
        <v>27079101</v>
      </c>
      <c r="I103" s="8" t="s">
        <v>704</v>
      </c>
      <c r="J103" s="8" t="s">
        <v>414</v>
      </c>
      <c r="K103" s="8" t="s">
        <v>407</v>
      </c>
      <c r="L103" s="8" t="s">
        <v>408</v>
      </c>
      <c r="M103" s="8" t="s">
        <v>185</v>
      </c>
      <c r="N103" s="8">
        <v>2</v>
      </c>
      <c r="O103" s="8" t="s">
        <v>429</v>
      </c>
      <c r="P103" s="8" t="s">
        <v>27</v>
      </c>
      <c r="Q103" s="10" t="s">
        <v>705</v>
      </c>
      <c r="R103" s="11">
        <v>44653543</v>
      </c>
      <c r="S103" s="11">
        <v>712800</v>
      </c>
      <c r="T103" s="11">
        <v>41856299</v>
      </c>
      <c r="U103" s="11">
        <v>56710000</v>
      </c>
      <c r="V103" s="14" t="s">
        <v>426</v>
      </c>
      <c r="W103" s="11">
        <v>0</v>
      </c>
      <c r="X103" s="11">
        <v>200941</v>
      </c>
      <c r="Y103" s="11">
        <f>X103</f>
        <v>200941</v>
      </c>
      <c r="Z103" s="1">
        <f>+X103/R103</f>
        <v>4.5000012652971341E-3</v>
      </c>
      <c r="AA103" s="13"/>
      <c r="AB103" s="10" t="s">
        <v>412</v>
      </c>
    </row>
    <row r="104" spans="1:28" ht="15.75" customHeight="1" x14ac:dyDescent="0.25">
      <c r="A104" s="8" t="s">
        <v>401</v>
      </c>
      <c r="B104" s="8" t="s">
        <v>402</v>
      </c>
      <c r="C104" s="9" t="s">
        <v>403</v>
      </c>
      <c r="D104" s="8" t="s">
        <v>6</v>
      </c>
      <c r="E104" s="8" t="s">
        <v>184</v>
      </c>
      <c r="F104" s="8">
        <v>1076</v>
      </c>
      <c r="G104" s="8" t="s">
        <v>577</v>
      </c>
      <c r="H104" s="8">
        <v>27070183</v>
      </c>
      <c r="I104" s="8" t="s">
        <v>706</v>
      </c>
      <c r="J104" s="8" t="s">
        <v>414</v>
      </c>
      <c r="K104" s="8" t="s">
        <v>407</v>
      </c>
      <c r="L104" s="8" t="s">
        <v>444</v>
      </c>
      <c r="M104" s="8" t="s">
        <v>186</v>
      </c>
      <c r="N104" s="8">
        <v>2</v>
      </c>
      <c r="O104" s="8" t="s">
        <v>441</v>
      </c>
      <c r="P104" s="8" t="s">
        <v>30</v>
      </c>
      <c r="Q104" s="10" t="s">
        <v>707</v>
      </c>
      <c r="R104" s="11">
        <v>139814159</v>
      </c>
      <c r="S104" s="11">
        <v>1199600</v>
      </c>
      <c r="T104" s="11">
        <v>121850442</v>
      </c>
      <c r="U104" s="11">
        <v>157990000</v>
      </c>
      <c r="V104" s="14" t="s">
        <v>647</v>
      </c>
      <c r="W104" s="11">
        <v>154883400</v>
      </c>
      <c r="X104" s="11">
        <v>629164</v>
      </c>
      <c r="Y104" s="11">
        <v>0</v>
      </c>
      <c r="Z104" s="1">
        <f>+X104/R104</f>
        <v>4.5000020348439813E-3</v>
      </c>
      <c r="AA104" s="13"/>
      <c r="AB104" s="10" t="s">
        <v>412</v>
      </c>
    </row>
    <row r="105" spans="1:28" ht="15.75" customHeight="1" x14ac:dyDescent="0.25">
      <c r="A105" s="8" t="s">
        <v>401</v>
      </c>
      <c r="B105" s="8" t="s">
        <v>402</v>
      </c>
      <c r="C105" s="9" t="s">
        <v>403</v>
      </c>
      <c r="D105" s="8" t="s">
        <v>6</v>
      </c>
      <c r="E105" s="8" t="s">
        <v>188</v>
      </c>
      <c r="F105" s="8">
        <v>308</v>
      </c>
      <c r="G105" s="8" t="s">
        <v>404</v>
      </c>
      <c r="H105" s="8">
        <v>27090244</v>
      </c>
      <c r="I105" s="8" t="s">
        <v>708</v>
      </c>
      <c r="J105" s="8" t="s">
        <v>408</v>
      </c>
      <c r="K105" s="8" t="s">
        <v>407</v>
      </c>
      <c r="L105" s="8" t="s">
        <v>444</v>
      </c>
      <c r="M105" s="8" t="s">
        <v>191</v>
      </c>
      <c r="N105" s="8">
        <v>9</v>
      </c>
      <c r="O105" s="8" t="s">
        <v>545</v>
      </c>
      <c r="P105" s="8" t="s">
        <v>97</v>
      </c>
      <c r="Q105" s="10" t="s">
        <v>709</v>
      </c>
      <c r="R105" s="11">
        <v>66684252</v>
      </c>
      <c r="S105" s="11">
        <v>1431000</v>
      </c>
      <c r="T105" s="11">
        <v>63159842</v>
      </c>
      <c r="U105" s="11">
        <v>84689000</v>
      </c>
      <c r="V105" s="12" t="s">
        <v>471</v>
      </c>
      <c r="W105" s="11">
        <v>0</v>
      </c>
      <c r="X105" s="11">
        <v>566816</v>
      </c>
      <c r="Y105" s="11">
        <f>+X105</f>
        <v>566816</v>
      </c>
      <c r="Z105" s="1">
        <f>+X105/R105</f>
        <v>8.499997870561703E-3</v>
      </c>
      <c r="AA105" s="13"/>
      <c r="AB105" s="10" t="s">
        <v>412</v>
      </c>
    </row>
    <row r="106" spans="1:28" ht="15.75" customHeight="1" x14ac:dyDescent="0.25">
      <c r="A106" s="8" t="s">
        <v>401</v>
      </c>
      <c r="B106" s="8" t="s">
        <v>402</v>
      </c>
      <c r="C106" s="9" t="s">
        <v>403</v>
      </c>
      <c r="D106" s="8" t="s">
        <v>6</v>
      </c>
      <c r="E106" s="8" t="s">
        <v>188</v>
      </c>
      <c r="F106" s="8">
        <v>308</v>
      </c>
      <c r="G106" s="8" t="s">
        <v>404</v>
      </c>
      <c r="H106" s="8">
        <v>27079041</v>
      </c>
      <c r="I106" s="8" t="s">
        <v>710</v>
      </c>
      <c r="J106" s="8" t="s">
        <v>457</v>
      </c>
      <c r="K106" s="8" t="s">
        <v>407</v>
      </c>
      <c r="L106" s="8" t="s">
        <v>415</v>
      </c>
      <c r="M106" s="8" t="s">
        <v>189</v>
      </c>
      <c r="N106" s="8">
        <v>9</v>
      </c>
      <c r="O106" s="8" t="s">
        <v>409</v>
      </c>
      <c r="P106" s="8" t="s">
        <v>21</v>
      </c>
      <c r="Q106" s="10" t="s">
        <v>711</v>
      </c>
      <c r="R106" s="11">
        <v>83003386</v>
      </c>
      <c r="S106" s="11">
        <v>1814000</v>
      </c>
      <c r="T106" s="11">
        <v>76151969</v>
      </c>
      <c r="U106" s="11">
        <v>105414300</v>
      </c>
      <c r="V106" s="12" t="s">
        <v>411</v>
      </c>
      <c r="W106" s="11">
        <v>74057800</v>
      </c>
      <c r="X106" s="11">
        <v>705529</v>
      </c>
      <c r="Y106" s="11">
        <v>0</v>
      </c>
      <c r="Z106" s="1">
        <f>+X106/R106</f>
        <v>8.5000026384465816E-3</v>
      </c>
      <c r="AA106" s="13"/>
      <c r="AB106" s="10" t="s">
        <v>412</v>
      </c>
    </row>
    <row r="107" spans="1:28" ht="15.75" customHeight="1" x14ac:dyDescent="0.25">
      <c r="A107" s="8" t="s">
        <v>401</v>
      </c>
      <c r="B107" s="8" t="s">
        <v>402</v>
      </c>
      <c r="C107" s="9" t="s">
        <v>403</v>
      </c>
      <c r="D107" s="8" t="s">
        <v>6</v>
      </c>
      <c r="E107" s="8" t="s">
        <v>188</v>
      </c>
      <c r="F107" s="8">
        <v>308</v>
      </c>
      <c r="G107" s="8" t="s">
        <v>404</v>
      </c>
      <c r="H107" s="8">
        <v>27087370</v>
      </c>
      <c r="I107" s="8" t="s">
        <v>712</v>
      </c>
      <c r="J107" s="8" t="s">
        <v>415</v>
      </c>
      <c r="K107" s="8" t="s">
        <v>407</v>
      </c>
      <c r="L107" s="8" t="s">
        <v>408</v>
      </c>
      <c r="M107" s="8" t="s">
        <v>190</v>
      </c>
      <c r="N107" s="8">
        <v>9</v>
      </c>
      <c r="O107" s="8" t="s">
        <v>466</v>
      </c>
      <c r="P107" s="8" t="s">
        <v>51</v>
      </c>
      <c r="Q107" s="10" t="s">
        <v>713</v>
      </c>
      <c r="R107" s="11">
        <v>63452168</v>
      </c>
      <c r="S107" s="11">
        <v>3920000</v>
      </c>
      <c r="T107" s="11">
        <v>58107349</v>
      </c>
      <c r="U107" s="11">
        <v>80584253</v>
      </c>
      <c r="V107" s="12" t="s">
        <v>411</v>
      </c>
      <c r="W107" s="11">
        <v>53584253</v>
      </c>
      <c r="X107" s="11">
        <v>539343</v>
      </c>
      <c r="Y107" s="11">
        <v>0</v>
      </c>
      <c r="Z107" s="1">
        <f>+X107/R107</f>
        <v>8.4999932547616033E-3</v>
      </c>
      <c r="AA107" s="13"/>
      <c r="AB107" s="10" t="s">
        <v>412</v>
      </c>
    </row>
    <row r="108" spans="1:28" ht="15.75" customHeight="1" x14ac:dyDescent="0.25">
      <c r="A108" s="8" t="s">
        <v>401</v>
      </c>
      <c r="B108" s="8" t="s">
        <v>402</v>
      </c>
      <c r="C108" s="9" t="s">
        <v>403</v>
      </c>
      <c r="D108" s="8" t="s">
        <v>6</v>
      </c>
      <c r="E108" s="8" t="s">
        <v>188</v>
      </c>
      <c r="F108" s="8">
        <v>308</v>
      </c>
      <c r="G108" s="8" t="s">
        <v>404</v>
      </c>
      <c r="H108" s="8">
        <v>27047223</v>
      </c>
      <c r="I108" s="8" t="s">
        <v>714</v>
      </c>
      <c r="J108" s="8" t="s">
        <v>439</v>
      </c>
      <c r="K108" s="8" t="s">
        <v>407</v>
      </c>
      <c r="L108" s="8" t="s">
        <v>457</v>
      </c>
      <c r="M108" s="8" t="s">
        <v>194</v>
      </c>
      <c r="N108" s="8">
        <v>9</v>
      </c>
      <c r="O108" s="8" t="s">
        <v>441</v>
      </c>
      <c r="P108" s="8" t="s">
        <v>30</v>
      </c>
      <c r="Q108" s="10" t="s">
        <v>715</v>
      </c>
      <c r="R108" s="11">
        <v>137211596</v>
      </c>
      <c r="S108" s="11">
        <v>1199600</v>
      </c>
      <c r="T108" s="11">
        <v>127425664</v>
      </c>
      <c r="U108" s="11">
        <v>155049103</v>
      </c>
      <c r="V108" s="12" t="s">
        <v>463</v>
      </c>
      <c r="W108" s="11">
        <v>150049103</v>
      </c>
      <c r="X108" s="11">
        <v>1166299</v>
      </c>
      <c r="Y108" s="11">
        <v>0</v>
      </c>
      <c r="Z108" s="1">
        <f>+X108/R108</f>
        <v>8.5000031629979735E-3</v>
      </c>
      <c r="AA108" s="13"/>
      <c r="AB108" s="10" t="s">
        <v>412</v>
      </c>
    </row>
    <row r="109" spans="1:28" ht="15.75" customHeight="1" x14ac:dyDescent="0.25">
      <c r="A109" s="8" t="s">
        <v>401</v>
      </c>
      <c r="B109" s="8" t="s">
        <v>402</v>
      </c>
      <c r="C109" s="9" t="s">
        <v>403</v>
      </c>
      <c r="D109" s="8" t="s">
        <v>6</v>
      </c>
      <c r="E109" s="8" t="s">
        <v>188</v>
      </c>
      <c r="F109" s="8">
        <v>308</v>
      </c>
      <c r="G109" s="8" t="s">
        <v>404</v>
      </c>
      <c r="H109" s="8">
        <v>27015500</v>
      </c>
      <c r="I109" s="8" t="s">
        <v>716</v>
      </c>
      <c r="J109" s="8" t="s">
        <v>717</v>
      </c>
      <c r="K109" s="8" t="s">
        <v>428</v>
      </c>
      <c r="L109" s="8" t="s">
        <v>406</v>
      </c>
      <c r="M109" s="8" t="s">
        <v>197</v>
      </c>
      <c r="N109" s="8">
        <v>9</v>
      </c>
      <c r="O109" s="8" t="s">
        <v>718</v>
      </c>
      <c r="P109" s="8" t="s">
        <v>101</v>
      </c>
      <c r="Q109" s="10" t="s">
        <v>719</v>
      </c>
      <c r="R109" s="11">
        <v>150814159</v>
      </c>
      <c r="S109" s="11">
        <v>1199600</v>
      </c>
      <c r="T109" s="11">
        <v>135390266</v>
      </c>
      <c r="U109" s="11">
        <v>170420000</v>
      </c>
      <c r="V109" s="12" t="s">
        <v>554</v>
      </c>
      <c r="W109" s="11">
        <v>0</v>
      </c>
      <c r="X109" s="11">
        <v>1281920</v>
      </c>
      <c r="Y109" s="11">
        <f>+X109</f>
        <v>1281920</v>
      </c>
      <c r="Z109" s="1">
        <f>+X109/R109</f>
        <v>8.4999976693169773E-3</v>
      </c>
      <c r="AA109" s="13"/>
      <c r="AB109" s="10" t="s">
        <v>412</v>
      </c>
    </row>
    <row r="110" spans="1:28" ht="15.75" customHeight="1" x14ac:dyDescent="0.25">
      <c r="A110" s="8" t="s">
        <v>401</v>
      </c>
      <c r="B110" s="8" t="s">
        <v>402</v>
      </c>
      <c r="C110" s="9" t="s">
        <v>403</v>
      </c>
      <c r="D110" s="8" t="s">
        <v>6</v>
      </c>
      <c r="E110" s="8" t="s">
        <v>188</v>
      </c>
      <c r="F110" s="8">
        <v>308</v>
      </c>
      <c r="G110" s="8" t="s">
        <v>404</v>
      </c>
      <c r="H110" s="8">
        <v>27047083</v>
      </c>
      <c r="I110" s="8" t="s">
        <v>720</v>
      </c>
      <c r="J110" s="8" t="s">
        <v>588</v>
      </c>
      <c r="K110" s="8" t="s">
        <v>407</v>
      </c>
      <c r="L110" s="8" t="s">
        <v>408</v>
      </c>
      <c r="M110" s="8" t="s">
        <v>196</v>
      </c>
      <c r="N110" s="8">
        <v>9</v>
      </c>
      <c r="O110" s="8" t="s">
        <v>568</v>
      </c>
      <c r="P110" s="8" t="s">
        <v>101</v>
      </c>
      <c r="Q110" s="10" t="s">
        <v>721</v>
      </c>
      <c r="R110" s="11">
        <v>155437168</v>
      </c>
      <c r="S110" s="11">
        <v>1199600</v>
      </c>
      <c r="T110" s="11">
        <v>141761947</v>
      </c>
      <c r="U110" s="11">
        <v>175644000</v>
      </c>
      <c r="V110" s="12" t="s">
        <v>417</v>
      </c>
      <c r="W110" s="11">
        <v>0</v>
      </c>
      <c r="X110" s="11">
        <v>1321216</v>
      </c>
      <c r="Y110" s="11">
        <f>X110</f>
        <v>1321216</v>
      </c>
      <c r="Z110" s="1">
        <f>+X110/R110</f>
        <v>8.5000004632096744E-3</v>
      </c>
      <c r="AA110" s="13"/>
      <c r="AB110" s="10" t="s">
        <v>412</v>
      </c>
    </row>
    <row r="111" spans="1:28" ht="15.75" customHeight="1" x14ac:dyDescent="0.25">
      <c r="A111" s="8" t="s">
        <v>401</v>
      </c>
      <c r="B111" s="8" t="s">
        <v>402</v>
      </c>
      <c r="C111" s="9" t="s">
        <v>403</v>
      </c>
      <c r="D111" s="8" t="s">
        <v>6</v>
      </c>
      <c r="E111" s="8" t="s">
        <v>188</v>
      </c>
      <c r="F111" s="8">
        <v>308</v>
      </c>
      <c r="G111" s="8" t="s">
        <v>404</v>
      </c>
      <c r="H111" s="8">
        <v>27052037</v>
      </c>
      <c r="I111" s="8" t="s">
        <v>722</v>
      </c>
      <c r="J111" s="8" t="s">
        <v>452</v>
      </c>
      <c r="K111" s="8" t="s">
        <v>654</v>
      </c>
      <c r="L111" s="8" t="s">
        <v>415</v>
      </c>
      <c r="M111" s="8" t="s">
        <v>195</v>
      </c>
      <c r="N111" s="8">
        <v>9</v>
      </c>
      <c r="O111" s="8" t="s">
        <v>568</v>
      </c>
      <c r="P111" s="8" t="s">
        <v>101</v>
      </c>
      <c r="Q111" s="10" t="s">
        <v>723</v>
      </c>
      <c r="R111" s="11">
        <v>155929204</v>
      </c>
      <c r="S111" s="11">
        <v>1199600</v>
      </c>
      <c r="T111" s="11">
        <v>141761947</v>
      </c>
      <c r="U111" s="11">
        <v>176200000</v>
      </c>
      <c r="V111" s="12" t="s">
        <v>417</v>
      </c>
      <c r="W111" s="11">
        <v>0</v>
      </c>
      <c r="X111" s="11">
        <v>1325398</v>
      </c>
      <c r="Y111" s="11">
        <f>+X111</f>
        <v>1325398</v>
      </c>
      <c r="Z111" s="1">
        <f>+X111/R111</f>
        <v>8.4999984993189594E-3</v>
      </c>
      <c r="AA111" s="13"/>
      <c r="AB111" s="10" t="s">
        <v>412</v>
      </c>
    </row>
    <row r="112" spans="1:28" ht="15.75" customHeight="1" x14ac:dyDescent="0.25">
      <c r="A112" s="8" t="s">
        <v>401</v>
      </c>
      <c r="B112" s="8" t="s">
        <v>402</v>
      </c>
      <c r="C112" s="9" t="s">
        <v>403</v>
      </c>
      <c r="D112" s="8" t="s">
        <v>6</v>
      </c>
      <c r="E112" s="8" t="s">
        <v>188</v>
      </c>
      <c r="F112" s="8">
        <v>308</v>
      </c>
      <c r="G112" s="8" t="s">
        <v>510</v>
      </c>
      <c r="H112" s="8">
        <v>27053331</v>
      </c>
      <c r="I112" s="8" t="s">
        <v>724</v>
      </c>
      <c r="J112" s="8" t="s">
        <v>439</v>
      </c>
      <c r="K112" s="8" t="s">
        <v>725</v>
      </c>
      <c r="L112" s="8" t="s">
        <v>428</v>
      </c>
      <c r="M112" s="8" t="s">
        <v>192</v>
      </c>
      <c r="N112" s="8">
        <v>9</v>
      </c>
      <c r="O112" s="8" t="s">
        <v>461</v>
      </c>
      <c r="P112" s="8" t="s">
        <v>45</v>
      </c>
      <c r="Q112" s="10" t="s">
        <v>726</v>
      </c>
      <c r="R112" s="11">
        <v>69990790</v>
      </c>
      <c r="S112" s="11">
        <v>1120200</v>
      </c>
      <c r="T112" s="11">
        <v>64953412</v>
      </c>
      <c r="U112" s="11">
        <v>88888303</v>
      </c>
      <c r="V112" s="12" t="s">
        <v>463</v>
      </c>
      <c r="W112" s="11">
        <v>0</v>
      </c>
      <c r="X112" s="11">
        <v>594922</v>
      </c>
      <c r="Y112" s="11">
        <f>+X112/2</f>
        <v>297461</v>
      </c>
      <c r="Z112" s="1">
        <f>+X112/R112</f>
        <v>8.5000040719643254E-3</v>
      </c>
      <c r="AA112" s="13"/>
      <c r="AB112" s="10" t="s">
        <v>518</v>
      </c>
    </row>
    <row r="113" spans="1:28" ht="15.75" customHeight="1" x14ac:dyDescent="0.25">
      <c r="A113" s="8" t="s">
        <v>401</v>
      </c>
      <c r="B113" s="8" t="s">
        <v>402</v>
      </c>
      <c r="C113" s="9" t="s">
        <v>403</v>
      </c>
      <c r="D113" s="8" t="s">
        <v>6</v>
      </c>
      <c r="E113" s="8" t="s">
        <v>188</v>
      </c>
      <c r="F113" s="8">
        <v>308</v>
      </c>
      <c r="G113" s="8" t="s">
        <v>404</v>
      </c>
      <c r="H113" s="8">
        <v>27046960</v>
      </c>
      <c r="I113" s="8" t="s">
        <v>727</v>
      </c>
      <c r="J113" s="8" t="s">
        <v>588</v>
      </c>
      <c r="K113" s="8" t="s">
        <v>457</v>
      </c>
      <c r="L113" s="8" t="s">
        <v>428</v>
      </c>
      <c r="M113" s="8" t="s">
        <v>193</v>
      </c>
      <c r="N113" s="8">
        <v>9</v>
      </c>
      <c r="O113" s="8" t="s">
        <v>572</v>
      </c>
      <c r="P113" s="8" t="s">
        <v>108</v>
      </c>
      <c r="Q113" s="10" t="s">
        <v>728</v>
      </c>
      <c r="R113" s="11">
        <v>85689764</v>
      </c>
      <c r="S113" s="11">
        <v>2624000</v>
      </c>
      <c r="T113" s="11">
        <v>81554462</v>
      </c>
      <c r="U113" s="11">
        <v>108826000</v>
      </c>
      <c r="V113" s="12" t="s">
        <v>471</v>
      </c>
      <c r="W113" s="11">
        <v>0</v>
      </c>
      <c r="X113" s="11">
        <v>728363</v>
      </c>
      <c r="Y113" s="11">
        <f t="shared" ref="Y113:Y116" si="16">+X113</f>
        <v>728363</v>
      </c>
      <c r="Z113" s="1">
        <f>+X113/R113</f>
        <v>8.5000000700200321E-3</v>
      </c>
      <c r="AA113" s="13"/>
      <c r="AB113" s="10" t="s">
        <v>412</v>
      </c>
    </row>
    <row r="114" spans="1:28" ht="15.75" customHeight="1" x14ac:dyDescent="0.25">
      <c r="A114" s="8" t="s">
        <v>401</v>
      </c>
      <c r="B114" s="8" t="s">
        <v>402</v>
      </c>
      <c r="C114" s="9" t="s">
        <v>403</v>
      </c>
      <c r="D114" s="8" t="s">
        <v>6</v>
      </c>
      <c r="E114" s="8" t="s">
        <v>199</v>
      </c>
      <c r="F114" s="8">
        <v>1077</v>
      </c>
      <c r="G114" s="8" t="s">
        <v>510</v>
      </c>
      <c r="H114" s="8">
        <v>27037134</v>
      </c>
      <c r="I114" s="8" t="s">
        <v>729</v>
      </c>
      <c r="J114" s="8" t="s">
        <v>649</v>
      </c>
      <c r="K114" s="8" t="s">
        <v>609</v>
      </c>
      <c r="L114" s="8" t="s">
        <v>489</v>
      </c>
      <c r="M114" s="8" t="s">
        <v>200</v>
      </c>
      <c r="N114" s="8">
        <v>2</v>
      </c>
      <c r="O114" s="8" t="s">
        <v>409</v>
      </c>
      <c r="P114" s="8" t="s">
        <v>21</v>
      </c>
      <c r="Q114" s="10" t="s">
        <v>730</v>
      </c>
      <c r="R114" s="11">
        <v>83207087</v>
      </c>
      <c r="S114" s="11">
        <v>1431000</v>
      </c>
      <c r="T114" s="11">
        <v>76873753</v>
      </c>
      <c r="U114" s="11">
        <v>105673000</v>
      </c>
      <c r="V114" s="14" t="s">
        <v>411</v>
      </c>
      <c r="W114" s="11">
        <v>0</v>
      </c>
      <c r="X114" s="11">
        <v>332828</v>
      </c>
      <c r="Y114" s="11">
        <f t="shared" si="16"/>
        <v>332828</v>
      </c>
      <c r="Z114" s="1">
        <f>+X114/R114</f>
        <v>3.9999958176639445E-3</v>
      </c>
      <c r="AA114" s="13"/>
      <c r="AB114" s="10" t="s">
        <v>412</v>
      </c>
    </row>
    <row r="115" spans="1:28" ht="15.75" customHeight="1" x14ac:dyDescent="0.25">
      <c r="A115" s="8" t="s">
        <v>401</v>
      </c>
      <c r="B115" s="8" t="s">
        <v>402</v>
      </c>
      <c r="C115" s="9" t="s">
        <v>403</v>
      </c>
      <c r="D115" s="8" t="s">
        <v>6</v>
      </c>
      <c r="E115" s="8" t="s">
        <v>199</v>
      </c>
      <c r="F115" s="8">
        <v>1077</v>
      </c>
      <c r="G115" s="8" t="s">
        <v>510</v>
      </c>
      <c r="H115" s="8">
        <v>27032747</v>
      </c>
      <c r="I115" s="8" t="s">
        <v>731</v>
      </c>
      <c r="J115" s="8" t="s">
        <v>541</v>
      </c>
      <c r="K115" s="8" t="s">
        <v>563</v>
      </c>
      <c r="L115" s="8" t="s">
        <v>587</v>
      </c>
      <c r="M115" s="8" t="s">
        <v>201</v>
      </c>
      <c r="N115" s="8">
        <v>2</v>
      </c>
      <c r="O115" s="8" t="s">
        <v>469</v>
      </c>
      <c r="P115" s="8" t="s">
        <v>49</v>
      </c>
      <c r="Q115" s="10" t="s">
        <v>732</v>
      </c>
      <c r="R115" s="11">
        <v>68541732</v>
      </c>
      <c r="S115" s="11">
        <v>1431000</v>
      </c>
      <c r="T115" s="11">
        <v>64603412</v>
      </c>
      <c r="U115" s="11">
        <v>87048000</v>
      </c>
      <c r="V115" s="14" t="s">
        <v>426</v>
      </c>
      <c r="W115" s="11">
        <v>0</v>
      </c>
      <c r="X115" s="11">
        <v>274167</v>
      </c>
      <c r="Y115" s="11">
        <f t="shared" si="16"/>
        <v>274167</v>
      </c>
      <c r="Z115" s="1">
        <f>+X115/R115</f>
        <v>4.0000010504549254E-3</v>
      </c>
      <c r="AA115" s="13"/>
      <c r="AB115" s="10" t="s">
        <v>412</v>
      </c>
    </row>
    <row r="116" spans="1:28" ht="15.75" customHeight="1" x14ac:dyDescent="0.25">
      <c r="A116" s="8" t="s">
        <v>401</v>
      </c>
      <c r="B116" s="8" t="s">
        <v>402</v>
      </c>
      <c r="C116" s="9" t="s">
        <v>403</v>
      </c>
      <c r="D116" s="8" t="s">
        <v>6</v>
      </c>
      <c r="E116" s="8" t="s">
        <v>203</v>
      </c>
      <c r="F116" s="8">
        <v>867</v>
      </c>
      <c r="G116" s="8" t="s">
        <v>496</v>
      </c>
      <c r="H116" s="8">
        <v>27073170</v>
      </c>
      <c r="I116" s="8" t="s">
        <v>733</v>
      </c>
      <c r="J116" s="8" t="s">
        <v>456</v>
      </c>
      <c r="K116" s="8" t="s">
        <v>725</v>
      </c>
      <c r="L116" s="8" t="s">
        <v>408</v>
      </c>
      <c r="M116" s="8" t="s">
        <v>207</v>
      </c>
      <c r="N116" s="8">
        <v>9</v>
      </c>
      <c r="O116" s="8" t="s">
        <v>545</v>
      </c>
      <c r="P116" s="8" t="s">
        <v>97</v>
      </c>
      <c r="Q116" s="10" t="s">
        <v>734</v>
      </c>
      <c r="R116" s="11">
        <v>70070866</v>
      </c>
      <c r="S116" s="11">
        <v>2236997</v>
      </c>
      <c r="T116" s="11">
        <v>63159842</v>
      </c>
      <c r="U116" s="11">
        <v>88990000</v>
      </c>
      <c r="V116" s="12" t="s">
        <v>554</v>
      </c>
      <c r="W116" s="11">
        <v>0</v>
      </c>
      <c r="X116" s="11">
        <f>R116*0.85%</f>
        <v>595602.36100000003</v>
      </c>
      <c r="Y116" s="11">
        <f t="shared" si="16"/>
        <v>595602.36100000003</v>
      </c>
      <c r="Z116" s="1">
        <f>+X116/R116</f>
        <v>8.5000000000000006E-3</v>
      </c>
      <c r="AA116" s="13"/>
      <c r="AB116" s="10" t="s">
        <v>412</v>
      </c>
    </row>
    <row r="117" spans="1:28" ht="15.75" customHeight="1" x14ac:dyDescent="0.25">
      <c r="A117" s="8" t="s">
        <v>401</v>
      </c>
      <c r="B117" s="8" t="s">
        <v>402</v>
      </c>
      <c r="C117" s="9" t="s">
        <v>403</v>
      </c>
      <c r="D117" s="8" t="s">
        <v>6</v>
      </c>
      <c r="E117" s="8" t="s">
        <v>203</v>
      </c>
      <c r="F117" s="8">
        <v>867</v>
      </c>
      <c r="G117" s="8" t="s">
        <v>551</v>
      </c>
      <c r="H117" s="8">
        <v>27085241</v>
      </c>
      <c r="I117" s="8" t="s">
        <v>735</v>
      </c>
      <c r="J117" s="8" t="s">
        <v>423</v>
      </c>
      <c r="K117" s="8" t="s">
        <v>407</v>
      </c>
      <c r="L117" s="8" t="s">
        <v>444</v>
      </c>
      <c r="M117" s="8" t="s">
        <v>205</v>
      </c>
      <c r="N117" s="8">
        <v>9</v>
      </c>
      <c r="O117" s="8" t="s">
        <v>466</v>
      </c>
      <c r="P117" s="8" t="s">
        <v>51</v>
      </c>
      <c r="Q117" s="10" t="s">
        <v>736</v>
      </c>
      <c r="R117" s="11">
        <v>65047087</v>
      </c>
      <c r="S117" s="11">
        <v>1464000</v>
      </c>
      <c r="T117" s="11">
        <v>58107349</v>
      </c>
      <c r="U117" s="11">
        <v>82609800</v>
      </c>
      <c r="V117" s="12" t="s">
        <v>576</v>
      </c>
      <c r="W117" s="11">
        <v>82609800</v>
      </c>
      <c r="X117" s="11">
        <f>R117*0.85%</f>
        <v>552900.23950000003</v>
      </c>
      <c r="Y117" s="11">
        <v>0</v>
      </c>
      <c r="Z117" s="1">
        <f>+X117/R117</f>
        <v>8.5000000000000006E-3</v>
      </c>
      <c r="AA117" s="13"/>
      <c r="AB117" s="10" t="s">
        <v>412</v>
      </c>
    </row>
    <row r="118" spans="1:28" ht="15.75" customHeight="1" x14ac:dyDescent="0.25">
      <c r="A118" s="8" t="s">
        <v>401</v>
      </c>
      <c r="B118" s="8" t="s">
        <v>402</v>
      </c>
      <c r="C118" s="9" t="s">
        <v>403</v>
      </c>
      <c r="D118" s="8" t="s">
        <v>6</v>
      </c>
      <c r="E118" s="8" t="s">
        <v>203</v>
      </c>
      <c r="F118" s="8">
        <v>867</v>
      </c>
      <c r="G118" s="8" t="s">
        <v>496</v>
      </c>
      <c r="H118" s="8">
        <v>27049067</v>
      </c>
      <c r="I118" s="8" t="s">
        <v>737</v>
      </c>
      <c r="J118" s="8" t="s">
        <v>439</v>
      </c>
      <c r="K118" s="8" t="s">
        <v>428</v>
      </c>
      <c r="L118" s="8" t="s">
        <v>609</v>
      </c>
      <c r="M118" s="8" t="s">
        <v>206</v>
      </c>
      <c r="N118" s="8">
        <v>9</v>
      </c>
      <c r="O118" s="8" t="s">
        <v>499</v>
      </c>
      <c r="P118" s="8" t="s">
        <v>66</v>
      </c>
      <c r="Q118" s="10" t="s">
        <v>738</v>
      </c>
      <c r="R118" s="11">
        <v>76370079</v>
      </c>
      <c r="S118" s="11">
        <v>1781000</v>
      </c>
      <c r="T118" s="11">
        <v>69655906</v>
      </c>
      <c r="U118" s="11">
        <v>96990000</v>
      </c>
      <c r="V118" s="12" t="s">
        <v>417</v>
      </c>
      <c r="W118" s="11">
        <v>0</v>
      </c>
      <c r="X118" s="11">
        <f>R118*0.85%</f>
        <v>649145.67150000005</v>
      </c>
      <c r="Y118" s="11">
        <f t="shared" ref="Y118:Y119" si="17">+X118</f>
        <v>649145.67150000005</v>
      </c>
      <c r="Z118" s="1">
        <f>+X118/R118</f>
        <v>8.5000000000000006E-3</v>
      </c>
      <c r="AA118" s="13"/>
      <c r="AB118" s="10" t="s">
        <v>412</v>
      </c>
    </row>
    <row r="119" spans="1:28" ht="15.75" customHeight="1" x14ac:dyDescent="0.25">
      <c r="A119" s="8" t="s">
        <v>401</v>
      </c>
      <c r="B119" s="8" t="s">
        <v>402</v>
      </c>
      <c r="C119" s="9" t="s">
        <v>403</v>
      </c>
      <c r="D119" s="8" t="s">
        <v>6</v>
      </c>
      <c r="E119" s="8" t="s">
        <v>203</v>
      </c>
      <c r="F119" s="8">
        <v>867</v>
      </c>
      <c r="G119" s="8" t="s">
        <v>496</v>
      </c>
      <c r="H119" s="8">
        <v>27047954</v>
      </c>
      <c r="I119" s="8" t="s">
        <v>739</v>
      </c>
      <c r="J119" s="8" t="s">
        <v>489</v>
      </c>
      <c r="K119" s="8" t="s">
        <v>609</v>
      </c>
      <c r="L119" s="8" t="s">
        <v>439</v>
      </c>
      <c r="M119" s="8" t="s">
        <v>204</v>
      </c>
      <c r="N119" s="8">
        <v>9</v>
      </c>
      <c r="O119" s="8" t="s">
        <v>469</v>
      </c>
      <c r="P119" s="8" t="s">
        <v>49</v>
      </c>
      <c r="Q119" s="10" t="s">
        <v>740</v>
      </c>
      <c r="R119" s="11">
        <v>70858268</v>
      </c>
      <c r="S119" s="11">
        <v>1781000</v>
      </c>
      <c r="T119" s="11">
        <v>64603412</v>
      </c>
      <c r="U119" s="11">
        <v>89990000</v>
      </c>
      <c r="V119" s="12" t="s">
        <v>417</v>
      </c>
      <c r="W119" s="11">
        <v>0</v>
      </c>
      <c r="X119" s="11">
        <f>R119*0.85%</f>
        <v>602295.27800000005</v>
      </c>
      <c r="Y119" s="11">
        <f t="shared" si="17"/>
        <v>602295.27800000005</v>
      </c>
      <c r="Z119" s="1">
        <f>+X119/R119</f>
        <v>8.5000000000000006E-3</v>
      </c>
      <c r="AA119" s="13"/>
      <c r="AB119" s="10" t="s">
        <v>412</v>
      </c>
    </row>
    <row r="120" spans="1:28" ht="15.75" customHeight="1" x14ac:dyDescent="0.25">
      <c r="A120" s="8" t="s">
        <v>401</v>
      </c>
      <c r="B120" s="8" t="s">
        <v>402</v>
      </c>
      <c r="C120" s="9" t="s">
        <v>403</v>
      </c>
      <c r="D120" s="8" t="s">
        <v>6</v>
      </c>
      <c r="E120" s="8" t="s">
        <v>203</v>
      </c>
      <c r="F120" s="8">
        <v>867</v>
      </c>
      <c r="G120" s="8" t="s">
        <v>496</v>
      </c>
      <c r="H120" s="8">
        <v>27076737</v>
      </c>
      <c r="I120" s="8" t="s">
        <v>741</v>
      </c>
      <c r="J120" s="8" t="s">
        <v>414</v>
      </c>
      <c r="K120" s="8" t="s">
        <v>407</v>
      </c>
      <c r="L120" s="8" t="s">
        <v>408</v>
      </c>
      <c r="M120" s="8" t="s">
        <v>209</v>
      </c>
      <c r="N120" s="8">
        <v>9</v>
      </c>
      <c r="O120" s="8" t="s">
        <v>429</v>
      </c>
      <c r="P120" s="8" t="s">
        <v>27</v>
      </c>
      <c r="Q120" s="10" t="s">
        <v>742</v>
      </c>
      <c r="R120" s="11">
        <v>45970160</v>
      </c>
      <c r="S120" s="11">
        <v>712800</v>
      </c>
      <c r="T120" s="11">
        <v>41856299</v>
      </c>
      <c r="U120" s="11">
        <v>58382103</v>
      </c>
      <c r="V120" s="12" t="s">
        <v>417</v>
      </c>
      <c r="W120" s="11">
        <v>0</v>
      </c>
      <c r="X120" s="11">
        <f>R120*0.85%</f>
        <v>390746.36000000004</v>
      </c>
      <c r="Y120" s="11">
        <f>+X120</f>
        <v>390746.36000000004</v>
      </c>
      <c r="Z120" s="1">
        <f>+X120/R120</f>
        <v>8.5000000000000006E-3</v>
      </c>
      <c r="AA120" s="13"/>
      <c r="AB120" s="10" t="s">
        <v>412</v>
      </c>
    </row>
    <row r="121" spans="1:28" ht="15.75" customHeight="1" x14ac:dyDescent="0.25">
      <c r="A121" s="8" t="s">
        <v>401</v>
      </c>
      <c r="B121" s="8" t="s">
        <v>402</v>
      </c>
      <c r="C121" s="9" t="s">
        <v>403</v>
      </c>
      <c r="D121" s="8" t="s">
        <v>6</v>
      </c>
      <c r="E121" s="8" t="s">
        <v>203</v>
      </c>
      <c r="F121" s="8">
        <v>867</v>
      </c>
      <c r="G121" s="8" t="s">
        <v>496</v>
      </c>
      <c r="H121" s="8">
        <v>27071521</v>
      </c>
      <c r="I121" s="8" t="s">
        <v>743</v>
      </c>
      <c r="J121" s="8" t="s">
        <v>456</v>
      </c>
      <c r="K121" s="8" t="s">
        <v>407</v>
      </c>
      <c r="L121" s="8" t="s">
        <v>408</v>
      </c>
      <c r="M121" s="8" t="s">
        <v>210</v>
      </c>
      <c r="N121" s="8">
        <v>9</v>
      </c>
      <c r="O121" s="8" t="s">
        <v>458</v>
      </c>
      <c r="P121" s="8" t="s">
        <v>43</v>
      </c>
      <c r="Q121" s="10" t="s">
        <v>744</v>
      </c>
      <c r="R121" s="11">
        <v>52700787</v>
      </c>
      <c r="S121" s="11">
        <v>1062800</v>
      </c>
      <c r="T121" s="11">
        <v>46908793</v>
      </c>
      <c r="U121" s="11">
        <v>66930000</v>
      </c>
      <c r="V121" s="12" t="s">
        <v>576</v>
      </c>
      <c r="W121" s="11">
        <v>46930000</v>
      </c>
      <c r="X121" s="11">
        <f>R121*0.85%</f>
        <v>447956.68950000004</v>
      </c>
      <c r="Y121" s="11">
        <v>0</v>
      </c>
      <c r="Z121" s="1">
        <f>+X121/R121</f>
        <v>8.5000000000000006E-3</v>
      </c>
      <c r="AA121" s="13"/>
      <c r="AB121" s="10" t="s">
        <v>412</v>
      </c>
    </row>
    <row r="122" spans="1:28" ht="15.75" customHeight="1" x14ac:dyDescent="0.25">
      <c r="A122" s="8" t="s">
        <v>401</v>
      </c>
      <c r="B122" s="8" t="s">
        <v>402</v>
      </c>
      <c r="C122" s="9" t="s">
        <v>403</v>
      </c>
      <c r="D122" s="8" t="s">
        <v>6</v>
      </c>
      <c r="E122" s="8" t="s">
        <v>203</v>
      </c>
      <c r="F122" s="8">
        <v>867</v>
      </c>
      <c r="G122" s="8" t="s">
        <v>551</v>
      </c>
      <c r="H122" s="8">
        <v>27045122</v>
      </c>
      <c r="I122" s="8" t="s">
        <v>745</v>
      </c>
      <c r="J122" s="8" t="s">
        <v>489</v>
      </c>
      <c r="K122" s="8" t="s">
        <v>407</v>
      </c>
      <c r="L122" s="8" t="s">
        <v>408</v>
      </c>
      <c r="M122" s="8" t="s">
        <v>211</v>
      </c>
      <c r="N122" s="8">
        <v>9</v>
      </c>
      <c r="O122" s="8" t="s">
        <v>461</v>
      </c>
      <c r="P122" s="8" t="s">
        <v>45</v>
      </c>
      <c r="Q122" s="10" t="s">
        <v>746</v>
      </c>
      <c r="R122" s="11">
        <v>72275433</v>
      </c>
      <c r="S122" s="11">
        <v>781200</v>
      </c>
      <c r="T122" s="11">
        <v>64953412</v>
      </c>
      <c r="U122" s="11">
        <v>91789800</v>
      </c>
      <c r="V122" s="12" t="s">
        <v>554</v>
      </c>
      <c r="W122" s="11">
        <v>0</v>
      </c>
      <c r="X122" s="11">
        <f>R122*0.85%</f>
        <v>614341.18050000002</v>
      </c>
      <c r="Y122" s="11">
        <f t="shared" ref="Y122:Y125" si="18">+X122</f>
        <v>614341.18050000002</v>
      </c>
      <c r="Z122" s="1">
        <f>+X122/R122</f>
        <v>8.5000000000000006E-3</v>
      </c>
      <c r="AA122" s="13"/>
      <c r="AB122" s="10" t="s">
        <v>412</v>
      </c>
    </row>
    <row r="123" spans="1:28" ht="15.75" customHeight="1" x14ac:dyDescent="0.25">
      <c r="A123" s="8" t="s">
        <v>401</v>
      </c>
      <c r="B123" s="8" t="s">
        <v>402</v>
      </c>
      <c r="C123" s="9" t="s">
        <v>403</v>
      </c>
      <c r="D123" s="8" t="s">
        <v>6</v>
      </c>
      <c r="E123" s="8" t="s">
        <v>203</v>
      </c>
      <c r="F123" s="8" t="s">
        <v>747</v>
      </c>
      <c r="G123" s="8" t="s">
        <v>496</v>
      </c>
      <c r="H123" s="8">
        <v>27091876</v>
      </c>
      <c r="I123" s="8" t="s">
        <v>748</v>
      </c>
      <c r="J123" s="8" t="s">
        <v>444</v>
      </c>
      <c r="K123" s="8" t="s">
        <v>407</v>
      </c>
      <c r="L123" s="8" t="s">
        <v>649</v>
      </c>
      <c r="M123" s="8" t="s">
        <v>208</v>
      </c>
      <c r="N123" s="8">
        <v>9</v>
      </c>
      <c r="O123" s="8" t="s">
        <v>545</v>
      </c>
      <c r="P123" s="8" t="s">
        <v>97</v>
      </c>
      <c r="Q123" s="10" t="s">
        <v>749</v>
      </c>
      <c r="R123" s="11">
        <v>66836302</v>
      </c>
      <c r="S123" s="11">
        <v>1781000</v>
      </c>
      <c r="T123" s="11">
        <v>63159842</v>
      </c>
      <c r="U123" s="11">
        <v>84882104</v>
      </c>
      <c r="V123" s="12" t="s">
        <v>622</v>
      </c>
      <c r="W123" s="11">
        <v>0</v>
      </c>
      <c r="X123" s="11">
        <f>R123*0.85%</f>
        <v>568108.56700000004</v>
      </c>
      <c r="Y123" s="11">
        <f t="shared" si="18"/>
        <v>568108.56700000004</v>
      </c>
      <c r="Z123" s="1">
        <f>+X123/R123</f>
        <v>8.5000000000000006E-3</v>
      </c>
      <c r="AA123" s="13"/>
      <c r="AB123" s="10" t="s">
        <v>412</v>
      </c>
    </row>
    <row r="124" spans="1:28" ht="15.75" customHeight="1" x14ac:dyDescent="0.25">
      <c r="A124" s="8" t="s">
        <v>401</v>
      </c>
      <c r="B124" s="8" t="s">
        <v>402</v>
      </c>
      <c r="C124" s="9" t="s">
        <v>403</v>
      </c>
      <c r="D124" s="8" t="s">
        <v>6</v>
      </c>
      <c r="E124" s="8" t="s">
        <v>213</v>
      </c>
      <c r="F124" s="8">
        <v>966</v>
      </c>
      <c r="G124" s="8" t="s">
        <v>404</v>
      </c>
      <c r="H124" s="8">
        <v>27053523</v>
      </c>
      <c r="I124" s="8" t="s">
        <v>750</v>
      </c>
      <c r="J124" s="8" t="s">
        <v>439</v>
      </c>
      <c r="K124" s="8" t="s">
        <v>415</v>
      </c>
      <c r="L124" s="8" t="s">
        <v>456</v>
      </c>
      <c r="M124" s="8" t="s">
        <v>214</v>
      </c>
      <c r="N124" s="8">
        <v>9</v>
      </c>
      <c r="O124" s="8" t="s">
        <v>409</v>
      </c>
      <c r="P124" s="8" t="s">
        <v>21</v>
      </c>
      <c r="Q124" s="10" t="s">
        <v>751</v>
      </c>
      <c r="R124" s="11">
        <v>83004724</v>
      </c>
      <c r="S124" s="11">
        <v>1781000</v>
      </c>
      <c r="T124" s="11">
        <v>77595538</v>
      </c>
      <c r="U124" s="11">
        <v>105416000</v>
      </c>
      <c r="V124" s="12" t="s">
        <v>463</v>
      </c>
      <c r="W124" s="11">
        <v>0</v>
      </c>
      <c r="X124" s="11">
        <v>705540</v>
      </c>
      <c r="Y124" s="11">
        <f t="shared" si="18"/>
        <v>705540</v>
      </c>
      <c r="Z124" s="1">
        <f>+X124/R124</f>
        <v>8.4999981446839106E-3</v>
      </c>
      <c r="AA124" s="13"/>
      <c r="AB124" s="10" t="s">
        <v>412</v>
      </c>
    </row>
    <row r="125" spans="1:28" ht="15.75" customHeight="1" x14ac:dyDescent="0.25">
      <c r="A125" s="8" t="s">
        <v>401</v>
      </c>
      <c r="B125" s="8" t="s">
        <v>402</v>
      </c>
      <c r="C125" s="9" t="s">
        <v>403</v>
      </c>
      <c r="D125" s="8" t="s">
        <v>6</v>
      </c>
      <c r="E125" s="8" t="s">
        <v>213</v>
      </c>
      <c r="F125" s="8">
        <v>966</v>
      </c>
      <c r="G125" s="8" t="s">
        <v>404</v>
      </c>
      <c r="H125" s="8">
        <v>27050483</v>
      </c>
      <c r="I125" s="8" t="s">
        <v>752</v>
      </c>
      <c r="J125" s="8" t="s">
        <v>489</v>
      </c>
      <c r="K125" s="8" t="s">
        <v>407</v>
      </c>
      <c r="L125" s="8" t="s">
        <v>408</v>
      </c>
      <c r="M125" s="8" t="s">
        <v>218</v>
      </c>
      <c r="N125" s="8">
        <v>9</v>
      </c>
      <c r="O125" s="8" t="s">
        <v>424</v>
      </c>
      <c r="P125" s="8" t="s">
        <v>25</v>
      </c>
      <c r="Q125" s="10" t="s">
        <v>753</v>
      </c>
      <c r="R125" s="11">
        <v>81429134</v>
      </c>
      <c r="S125" s="11">
        <v>1431000</v>
      </c>
      <c r="T125" s="11">
        <v>76151969</v>
      </c>
      <c r="U125" s="11">
        <v>103415000</v>
      </c>
      <c r="V125" s="12" t="s">
        <v>426</v>
      </c>
      <c r="W125" s="11">
        <v>0</v>
      </c>
      <c r="X125" s="11">
        <v>692148</v>
      </c>
      <c r="Y125" s="11">
        <f t="shared" si="18"/>
        <v>692148</v>
      </c>
      <c r="Z125" s="1">
        <f>+X125/R125</f>
        <v>8.5000044333027047E-3</v>
      </c>
      <c r="AA125" s="13"/>
      <c r="AB125" s="10" t="s">
        <v>412</v>
      </c>
    </row>
    <row r="126" spans="1:28" ht="15.75" customHeight="1" x14ac:dyDescent="0.25">
      <c r="A126" s="8" t="s">
        <v>401</v>
      </c>
      <c r="B126" s="8" t="s">
        <v>402</v>
      </c>
      <c r="C126" s="9" t="s">
        <v>403</v>
      </c>
      <c r="D126" s="8" t="s">
        <v>6</v>
      </c>
      <c r="E126" s="8" t="s">
        <v>213</v>
      </c>
      <c r="F126" s="8">
        <v>966</v>
      </c>
      <c r="G126" s="8" t="s">
        <v>404</v>
      </c>
      <c r="H126" s="8">
        <v>27083326</v>
      </c>
      <c r="I126" s="8" t="s">
        <v>754</v>
      </c>
      <c r="J126" s="8" t="s">
        <v>457</v>
      </c>
      <c r="K126" s="8" t="s">
        <v>407</v>
      </c>
      <c r="L126" s="8" t="s">
        <v>408</v>
      </c>
      <c r="M126" s="8" t="s">
        <v>216</v>
      </c>
      <c r="N126" s="8">
        <v>9</v>
      </c>
      <c r="O126" s="8" t="s">
        <v>466</v>
      </c>
      <c r="P126" s="8" t="s">
        <v>51</v>
      </c>
      <c r="Q126" s="10" t="s">
        <v>755</v>
      </c>
      <c r="R126" s="11">
        <v>63495458</v>
      </c>
      <c r="S126" s="11">
        <v>1464000</v>
      </c>
      <c r="T126" s="11">
        <v>58107349</v>
      </c>
      <c r="U126" s="11">
        <v>80639232</v>
      </c>
      <c r="V126" s="12" t="s">
        <v>411</v>
      </c>
      <c r="W126" s="11">
        <v>80639232</v>
      </c>
      <c r="X126" s="11">
        <v>539711</v>
      </c>
      <c r="Y126" s="11">
        <v>0</v>
      </c>
      <c r="Z126" s="1">
        <f>+X126/R126</f>
        <v>8.4999938105809088E-3</v>
      </c>
      <c r="AA126" s="13"/>
      <c r="AB126" s="10" t="s">
        <v>412</v>
      </c>
    </row>
    <row r="127" spans="1:28" ht="15.75" customHeight="1" x14ac:dyDescent="0.25">
      <c r="A127" s="8" t="s">
        <v>401</v>
      </c>
      <c r="B127" s="8" t="s">
        <v>402</v>
      </c>
      <c r="C127" s="9" t="s">
        <v>403</v>
      </c>
      <c r="D127" s="8" t="s">
        <v>6</v>
      </c>
      <c r="E127" s="8" t="s">
        <v>213</v>
      </c>
      <c r="F127" s="8">
        <v>966</v>
      </c>
      <c r="G127" s="8" t="s">
        <v>404</v>
      </c>
      <c r="H127" s="8">
        <v>27070314</v>
      </c>
      <c r="I127" s="8" t="s">
        <v>756</v>
      </c>
      <c r="J127" s="8" t="s">
        <v>456</v>
      </c>
      <c r="K127" s="8" t="s">
        <v>423</v>
      </c>
      <c r="L127" s="8" t="s">
        <v>457</v>
      </c>
      <c r="M127" s="8" t="s">
        <v>215</v>
      </c>
      <c r="N127" s="8">
        <v>9</v>
      </c>
      <c r="O127" s="8" t="s">
        <v>469</v>
      </c>
      <c r="P127" s="8" t="s">
        <v>49</v>
      </c>
      <c r="Q127" s="10" t="s">
        <v>757</v>
      </c>
      <c r="R127" s="11">
        <v>68785278</v>
      </c>
      <c r="S127" s="11">
        <v>1431000</v>
      </c>
      <c r="T127" s="11">
        <v>64603412</v>
      </c>
      <c r="U127" s="11">
        <v>87357303</v>
      </c>
      <c r="V127" s="12" t="s">
        <v>426</v>
      </c>
      <c r="W127" s="11">
        <v>0</v>
      </c>
      <c r="X127" s="11">
        <v>584675</v>
      </c>
      <c r="Y127" s="11">
        <f t="shared" ref="Y127:Y128" si="19">+X127</f>
        <v>584675</v>
      </c>
      <c r="Z127" s="1">
        <f>+X127/R127</f>
        <v>8.5000019917052597E-3</v>
      </c>
      <c r="AA127" s="13"/>
      <c r="AB127" s="10" t="s">
        <v>412</v>
      </c>
    </row>
    <row r="128" spans="1:28" ht="15.75" customHeight="1" x14ac:dyDescent="0.25">
      <c r="A128" s="8" t="s">
        <v>401</v>
      </c>
      <c r="B128" s="8" t="s">
        <v>402</v>
      </c>
      <c r="C128" s="9" t="s">
        <v>403</v>
      </c>
      <c r="D128" s="8" t="s">
        <v>6</v>
      </c>
      <c r="E128" s="8" t="s">
        <v>213</v>
      </c>
      <c r="F128" s="8">
        <v>966</v>
      </c>
      <c r="G128" s="8" t="s">
        <v>496</v>
      </c>
      <c r="H128" s="8">
        <v>27067270</v>
      </c>
      <c r="I128" s="8" t="s">
        <v>758</v>
      </c>
      <c r="J128" s="8" t="s">
        <v>434</v>
      </c>
      <c r="K128" s="8" t="s">
        <v>428</v>
      </c>
      <c r="L128" s="8" t="s">
        <v>456</v>
      </c>
      <c r="M128" s="8" t="s">
        <v>217</v>
      </c>
      <c r="N128" s="8">
        <v>9</v>
      </c>
      <c r="O128" s="8" t="s">
        <v>499</v>
      </c>
      <c r="P128" s="8" t="s">
        <v>66</v>
      </c>
      <c r="Q128" s="10" t="s">
        <v>759</v>
      </c>
      <c r="R128" s="11">
        <v>74462992</v>
      </c>
      <c r="S128" s="11">
        <v>1781000</v>
      </c>
      <c r="T128" s="11">
        <v>69655906</v>
      </c>
      <c r="U128" s="11">
        <v>94568000</v>
      </c>
      <c r="V128" s="12" t="s">
        <v>426</v>
      </c>
      <c r="W128" s="11">
        <v>0</v>
      </c>
      <c r="X128" s="11">
        <v>632935</v>
      </c>
      <c r="Y128" s="11">
        <f t="shared" si="19"/>
        <v>632935</v>
      </c>
      <c r="Z128" s="1">
        <f>+X128/R128</f>
        <v>8.4999941984603578E-3</v>
      </c>
      <c r="AA128" s="13"/>
      <c r="AB128" s="10" t="s">
        <v>412</v>
      </c>
    </row>
    <row r="129" spans="1:28" ht="15.75" customHeight="1" x14ac:dyDescent="0.25">
      <c r="A129" s="8" t="s">
        <v>401</v>
      </c>
      <c r="B129" s="8" t="s">
        <v>402</v>
      </c>
      <c r="C129" s="9" t="s">
        <v>403</v>
      </c>
      <c r="D129" s="8" t="s">
        <v>6</v>
      </c>
      <c r="E129" s="8" t="s">
        <v>213</v>
      </c>
      <c r="F129" s="8">
        <v>966</v>
      </c>
      <c r="G129" s="8" t="s">
        <v>404</v>
      </c>
      <c r="H129" s="8">
        <v>27071700</v>
      </c>
      <c r="I129" s="8" t="s">
        <v>760</v>
      </c>
      <c r="J129" s="8" t="s">
        <v>456</v>
      </c>
      <c r="K129" s="8" t="s">
        <v>407</v>
      </c>
      <c r="L129" s="8" t="s">
        <v>408</v>
      </c>
      <c r="M129" s="8" t="s">
        <v>219</v>
      </c>
      <c r="N129" s="8">
        <v>9</v>
      </c>
      <c r="O129" s="8" t="s">
        <v>429</v>
      </c>
      <c r="P129" s="8" t="s">
        <v>27</v>
      </c>
      <c r="Q129" s="10" t="s">
        <v>761</v>
      </c>
      <c r="R129" s="11">
        <v>44600317</v>
      </c>
      <c r="S129" s="11">
        <v>712800</v>
      </c>
      <c r="T129" s="11">
        <v>41856299</v>
      </c>
      <c r="U129" s="11">
        <v>56642403</v>
      </c>
      <c r="V129" s="12" t="s">
        <v>426</v>
      </c>
      <c r="W129" s="11">
        <v>9928703</v>
      </c>
      <c r="X129" s="11">
        <v>379103</v>
      </c>
      <c r="Y129" s="11">
        <v>0</v>
      </c>
      <c r="Z129" s="1">
        <f>+X129/R129</f>
        <v>8.5000068497270986E-3</v>
      </c>
      <c r="AA129" s="13"/>
      <c r="AB129" s="10" t="s">
        <v>412</v>
      </c>
    </row>
    <row r="130" spans="1:28" ht="15.75" customHeight="1" x14ac:dyDescent="0.25">
      <c r="A130" s="8" t="s">
        <v>401</v>
      </c>
      <c r="B130" s="8" t="s">
        <v>402</v>
      </c>
      <c r="C130" s="9" t="s">
        <v>403</v>
      </c>
      <c r="D130" s="8" t="s">
        <v>6</v>
      </c>
      <c r="E130" s="8" t="s">
        <v>213</v>
      </c>
      <c r="F130" s="8">
        <v>966</v>
      </c>
      <c r="G130" s="8" t="s">
        <v>404</v>
      </c>
      <c r="H130" s="8">
        <v>27082483</v>
      </c>
      <c r="I130" s="8" t="s">
        <v>762</v>
      </c>
      <c r="J130" s="8" t="s">
        <v>457</v>
      </c>
      <c r="K130" s="8" t="s">
        <v>407</v>
      </c>
      <c r="L130" s="8" t="s">
        <v>408</v>
      </c>
      <c r="M130" s="8" t="s">
        <v>222</v>
      </c>
      <c r="N130" s="8">
        <v>9</v>
      </c>
      <c r="O130" s="8" t="s">
        <v>435</v>
      </c>
      <c r="P130" s="8" t="s">
        <v>32</v>
      </c>
      <c r="Q130" s="10" t="s">
        <v>763</v>
      </c>
      <c r="R130" s="11">
        <v>85979914</v>
      </c>
      <c r="S130" s="11">
        <v>735600</v>
      </c>
      <c r="T130" s="11">
        <v>78761143</v>
      </c>
      <c r="U130" s="11">
        <v>97157303</v>
      </c>
      <c r="V130" s="12" t="s">
        <v>411</v>
      </c>
      <c r="W130" s="11">
        <v>96705303</v>
      </c>
      <c r="X130" s="11">
        <v>730829</v>
      </c>
      <c r="Y130" s="11">
        <v>0</v>
      </c>
      <c r="Z130" s="1">
        <f>+X130/R130</f>
        <v>8.4999968713623045E-3</v>
      </c>
      <c r="AA130" s="13"/>
      <c r="AB130" s="10" t="s">
        <v>412</v>
      </c>
    </row>
    <row r="131" spans="1:28" ht="15.75" customHeight="1" x14ac:dyDescent="0.25">
      <c r="A131" s="8" t="s">
        <v>401</v>
      </c>
      <c r="B131" s="8" t="s">
        <v>402</v>
      </c>
      <c r="C131" s="9" t="s">
        <v>403</v>
      </c>
      <c r="D131" s="8" t="s">
        <v>6</v>
      </c>
      <c r="E131" s="8" t="s">
        <v>213</v>
      </c>
      <c r="F131" s="8">
        <v>966</v>
      </c>
      <c r="G131" s="8" t="s">
        <v>510</v>
      </c>
      <c r="H131" s="8">
        <v>27050012</v>
      </c>
      <c r="I131" s="8" t="s">
        <v>764</v>
      </c>
      <c r="J131" s="8" t="s">
        <v>452</v>
      </c>
      <c r="K131" s="8" t="s">
        <v>440</v>
      </c>
      <c r="L131" s="8" t="s">
        <v>609</v>
      </c>
      <c r="M131" s="8" t="s">
        <v>221</v>
      </c>
      <c r="N131" s="8">
        <v>9</v>
      </c>
      <c r="O131" s="8" t="s">
        <v>559</v>
      </c>
      <c r="P131" s="8" t="s">
        <v>103</v>
      </c>
      <c r="Q131" s="10" t="s">
        <v>765</v>
      </c>
      <c r="R131" s="11">
        <v>81246046</v>
      </c>
      <c r="S131" s="11">
        <v>714000</v>
      </c>
      <c r="T131" s="11">
        <v>79564910</v>
      </c>
      <c r="U131" s="11">
        <v>91808032</v>
      </c>
      <c r="V131" s="12" t="s">
        <v>454</v>
      </c>
      <c r="W131" s="11">
        <v>0</v>
      </c>
      <c r="X131" s="11">
        <v>690591</v>
      </c>
      <c r="Y131" s="11">
        <f t="shared" ref="Y131:Y135" si="20">+X131</f>
        <v>690591</v>
      </c>
      <c r="Z131" s="1">
        <f>+X131/R131</f>
        <v>8.4999951874581078E-3</v>
      </c>
      <c r="AA131" s="13"/>
      <c r="AB131" s="10" t="s">
        <v>412</v>
      </c>
    </row>
    <row r="132" spans="1:28" ht="15.75" customHeight="1" x14ac:dyDescent="0.25">
      <c r="A132" s="8" t="s">
        <v>401</v>
      </c>
      <c r="B132" s="8" t="s">
        <v>402</v>
      </c>
      <c r="C132" s="9" t="s">
        <v>403</v>
      </c>
      <c r="D132" s="8" t="s">
        <v>6</v>
      </c>
      <c r="E132" s="8" t="s">
        <v>213</v>
      </c>
      <c r="F132" s="8">
        <v>966</v>
      </c>
      <c r="G132" s="8" t="s">
        <v>404</v>
      </c>
      <c r="H132" s="8">
        <v>27033479</v>
      </c>
      <c r="I132" s="8" t="s">
        <v>766</v>
      </c>
      <c r="J132" s="8" t="s">
        <v>541</v>
      </c>
      <c r="K132" s="8" t="s">
        <v>439</v>
      </c>
      <c r="L132" s="8" t="s">
        <v>588</v>
      </c>
      <c r="M132" s="8" t="s">
        <v>220</v>
      </c>
      <c r="N132" s="8">
        <v>9</v>
      </c>
      <c r="O132" s="8" t="s">
        <v>485</v>
      </c>
      <c r="P132" s="8" t="s">
        <v>58</v>
      </c>
      <c r="Q132" s="10" t="s">
        <v>767</v>
      </c>
      <c r="R132" s="11">
        <v>75984252</v>
      </c>
      <c r="S132" s="11">
        <v>1131200</v>
      </c>
      <c r="T132" s="11">
        <v>72885608</v>
      </c>
      <c r="U132" s="11">
        <v>96500000</v>
      </c>
      <c r="V132" s="12" t="s">
        <v>622</v>
      </c>
      <c r="W132" s="11">
        <v>0</v>
      </c>
      <c r="X132" s="11">
        <v>645866</v>
      </c>
      <c r="Y132" s="11">
        <f t="shared" si="20"/>
        <v>645866</v>
      </c>
      <c r="Z132" s="1">
        <f>+X132/R132</f>
        <v>8.4999981311917102E-3</v>
      </c>
      <c r="AA132" s="13"/>
      <c r="AB132" s="10" t="s">
        <v>412</v>
      </c>
    </row>
    <row r="133" spans="1:28" ht="15.75" customHeight="1" x14ac:dyDescent="0.25">
      <c r="A133" s="8" t="s">
        <v>401</v>
      </c>
      <c r="B133" s="8" t="s">
        <v>402</v>
      </c>
      <c r="C133" s="9" t="s">
        <v>534</v>
      </c>
      <c r="D133" s="8" t="s">
        <v>7</v>
      </c>
      <c r="E133" s="8" t="s">
        <v>225</v>
      </c>
      <c r="F133" s="8">
        <v>998</v>
      </c>
      <c r="G133" s="8" t="s">
        <v>510</v>
      </c>
      <c r="H133" s="8">
        <v>27025510</v>
      </c>
      <c r="I133" s="8" t="s">
        <v>768</v>
      </c>
      <c r="J133" s="8" t="s">
        <v>571</v>
      </c>
      <c r="K133" s="8" t="s">
        <v>428</v>
      </c>
      <c r="L133" s="8" t="s">
        <v>588</v>
      </c>
      <c r="M133" s="8" t="s">
        <v>227</v>
      </c>
      <c r="N133" s="8">
        <v>2</v>
      </c>
      <c r="O133" s="8" t="s">
        <v>536</v>
      </c>
      <c r="P133" s="8" t="s">
        <v>89</v>
      </c>
      <c r="Q133" s="10" t="s">
        <v>769</v>
      </c>
      <c r="R133" s="11">
        <v>92047244</v>
      </c>
      <c r="S133" s="11">
        <v>775000</v>
      </c>
      <c r="T133" s="11">
        <v>83302756</v>
      </c>
      <c r="U133" s="11">
        <v>116900000</v>
      </c>
      <c r="V133" s="12" t="s">
        <v>417</v>
      </c>
      <c r="W133" s="11">
        <v>0</v>
      </c>
      <c r="X133" s="11">
        <v>920472</v>
      </c>
      <c r="Y133" s="11">
        <f t="shared" si="20"/>
        <v>920472</v>
      </c>
      <c r="Z133" s="1">
        <f>+X133/R133</f>
        <v>9.9999952198460175E-3</v>
      </c>
      <c r="AA133" s="13"/>
      <c r="AB133" s="10" t="s">
        <v>412</v>
      </c>
    </row>
    <row r="134" spans="1:28" ht="15.75" customHeight="1" x14ac:dyDescent="0.25">
      <c r="A134" s="8" t="s">
        <v>401</v>
      </c>
      <c r="B134" s="8" t="s">
        <v>402</v>
      </c>
      <c r="C134" s="9" t="s">
        <v>534</v>
      </c>
      <c r="D134" s="8" t="s">
        <v>7</v>
      </c>
      <c r="E134" s="8" t="s">
        <v>225</v>
      </c>
      <c r="F134" s="8">
        <v>998</v>
      </c>
      <c r="G134" s="8" t="s">
        <v>496</v>
      </c>
      <c r="H134" s="8">
        <v>27057861</v>
      </c>
      <c r="I134" s="8" t="s">
        <v>770</v>
      </c>
      <c r="J134" s="8" t="s">
        <v>406</v>
      </c>
      <c r="K134" s="8" t="s">
        <v>456</v>
      </c>
      <c r="L134" s="8" t="s">
        <v>440</v>
      </c>
      <c r="M134" s="8" t="s">
        <v>226</v>
      </c>
      <c r="N134" s="8">
        <v>2</v>
      </c>
      <c r="O134" s="8" t="s">
        <v>542</v>
      </c>
      <c r="P134" s="8" t="s">
        <v>87</v>
      </c>
      <c r="Q134" s="10" t="s">
        <v>771</v>
      </c>
      <c r="R134" s="11">
        <v>97244094</v>
      </c>
      <c r="S134" s="11">
        <v>425000</v>
      </c>
      <c r="T134" s="11">
        <v>89495276</v>
      </c>
      <c r="U134" s="11">
        <v>123500000</v>
      </c>
      <c r="V134" s="12" t="s">
        <v>411</v>
      </c>
      <c r="W134" s="11">
        <v>0</v>
      </c>
      <c r="X134" s="11">
        <v>972441</v>
      </c>
      <c r="Y134" s="11">
        <f t="shared" si="20"/>
        <v>972441</v>
      </c>
      <c r="Z134" s="1">
        <f>+X134/R134</f>
        <v>1.0000000617004052E-2</v>
      </c>
      <c r="AA134" s="13"/>
      <c r="AB134" s="10" t="s">
        <v>412</v>
      </c>
    </row>
    <row r="135" spans="1:28" ht="15.75" customHeight="1" x14ac:dyDescent="0.25">
      <c r="A135" s="8" t="s">
        <v>401</v>
      </c>
      <c r="B135" s="8" t="s">
        <v>402</v>
      </c>
      <c r="C135" s="9" t="s">
        <v>403</v>
      </c>
      <c r="D135" s="8" t="s">
        <v>8</v>
      </c>
      <c r="E135" s="8" t="s">
        <v>230</v>
      </c>
      <c r="F135" s="8">
        <v>950</v>
      </c>
      <c r="G135" s="8" t="s">
        <v>505</v>
      </c>
      <c r="H135" s="8">
        <v>27049555</v>
      </c>
      <c r="I135" s="8" t="s">
        <v>772</v>
      </c>
      <c r="J135" s="8" t="s">
        <v>489</v>
      </c>
      <c r="K135" s="8" t="s">
        <v>423</v>
      </c>
      <c r="L135" s="8" t="s">
        <v>414</v>
      </c>
      <c r="M135" s="8" t="s">
        <v>232</v>
      </c>
      <c r="N135" s="8">
        <v>8</v>
      </c>
      <c r="O135" s="8" t="s">
        <v>521</v>
      </c>
      <c r="P135" s="8" t="s">
        <v>79</v>
      </c>
      <c r="Q135" s="10" t="s">
        <v>773</v>
      </c>
      <c r="R135" s="11">
        <v>62984252</v>
      </c>
      <c r="S135" s="11">
        <v>1431000</v>
      </c>
      <c r="T135" s="11">
        <v>58107349</v>
      </c>
      <c r="U135" s="11">
        <v>79990000</v>
      </c>
      <c r="V135" s="12" t="s">
        <v>411</v>
      </c>
      <c r="W135" s="11">
        <v>0</v>
      </c>
      <c r="X135" s="11">
        <v>535366</v>
      </c>
      <c r="Y135" s="11">
        <f t="shared" si="20"/>
        <v>535366</v>
      </c>
      <c r="Z135" s="1">
        <f>+X135/R135</f>
        <v>8.4999977454681842E-3</v>
      </c>
      <c r="AA135" s="13"/>
      <c r="AB135" s="10" t="s">
        <v>412</v>
      </c>
    </row>
    <row r="136" spans="1:28" ht="15.75" customHeight="1" x14ac:dyDescent="0.25">
      <c r="A136" s="8" t="s">
        <v>401</v>
      </c>
      <c r="B136" s="8" t="s">
        <v>402</v>
      </c>
      <c r="C136" s="9" t="s">
        <v>403</v>
      </c>
      <c r="D136" s="8" t="s">
        <v>8</v>
      </c>
      <c r="E136" s="8" t="s">
        <v>230</v>
      </c>
      <c r="F136" s="8">
        <v>950</v>
      </c>
      <c r="G136" s="8" t="s">
        <v>577</v>
      </c>
      <c r="H136" s="8">
        <v>27062146</v>
      </c>
      <c r="I136" s="8" t="s">
        <v>774</v>
      </c>
      <c r="J136" s="8" t="s">
        <v>414</v>
      </c>
      <c r="K136" s="8" t="s">
        <v>407</v>
      </c>
      <c r="L136" s="8" t="s">
        <v>415</v>
      </c>
      <c r="M136" s="8" t="s">
        <v>234</v>
      </c>
      <c r="N136" s="8">
        <v>8</v>
      </c>
      <c r="O136" s="8" t="s">
        <v>445</v>
      </c>
      <c r="P136" s="8" t="s">
        <v>36</v>
      </c>
      <c r="Q136" s="10" t="s">
        <v>775</v>
      </c>
      <c r="R136" s="11">
        <v>73811024</v>
      </c>
      <c r="S136" s="11">
        <v>1984000</v>
      </c>
      <c r="T136" s="11">
        <v>66768767</v>
      </c>
      <c r="U136" s="11">
        <v>93740000</v>
      </c>
      <c r="V136" s="12" t="s">
        <v>554</v>
      </c>
      <c r="W136" s="11">
        <v>84246763</v>
      </c>
      <c r="X136" s="11">
        <v>627394</v>
      </c>
      <c r="Y136" s="11">
        <v>0</v>
      </c>
      <c r="Z136" s="1">
        <f>+X136/R136</f>
        <v>8.5000040102410721E-3</v>
      </c>
      <c r="AA136" s="13"/>
      <c r="AB136" s="10" t="s">
        <v>412</v>
      </c>
    </row>
    <row r="137" spans="1:28" ht="15.75" customHeight="1" x14ac:dyDescent="0.25">
      <c r="A137" s="8" t="s">
        <v>401</v>
      </c>
      <c r="B137" s="8" t="s">
        <v>402</v>
      </c>
      <c r="C137" s="9" t="s">
        <v>403</v>
      </c>
      <c r="D137" s="8" t="s">
        <v>8</v>
      </c>
      <c r="E137" s="8" t="s">
        <v>230</v>
      </c>
      <c r="F137" s="8">
        <v>950</v>
      </c>
      <c r="G137" s="8" t="s">
        <v>597</v>
      </c>
      <c r="H137" s="8">
        <v>27087781</v>
      </c>
      <c r="I137" s="8" t="s">
        <v>776</v>
      </c>
      <c r="J137" s="8" t="s">
        <v>415</v>
      </c>
      <c r="K137" s="8" t="s">
        <v>407</v>
      </c>
      <c r="L137" s="8" t="s">
        <v>444</v>
      </c>
      <c r="M137" s="8" t="s">
        <v>233</v>
      </c>
      <c r="N137" s="8">
        <v>8</v>
      </c>
      <c r="O137" s="8" t="s">
        <v>445</v>
      </c>
      <c r="P137" s="8" t="s">
        <v>36</v>
      </c>
      <c r="Q137" s="10" t="s">
        <v>777</v>
      </c>
      <c r="R137" s="11">
        <v>71596693</v>
      </c>
      <c r="S137" s="11">
        <v>2114000</v>
      </c>
      <c r="T137" s="11">
        <v>66768767</v>
      </c>
      <c r="U137" s="11">
        <v>90927800</v>
      </c>
      <c r="V137" s="12" t="s">
        <v>463</v>
      </c>
      <c r="W137" s="11">
        <v>0</v>
      </c>
      <c r="X137" s="11">
        <v>608572</v>
      </c>
      <c r="Y137" s="11">
        <f t="shared" ref="Y137:Y141" si="21">+X137</f>
        <v>608572</v>
      </c>
      <c r="Z137" s="1">
        <f>+X137/R137</f>
        <v>8.5000015294002477E-3</v>
      </c>
      <c r="AA137" s="13"/>
      <c r="AB137" s="10" t="s">
        <v>412</v>
      </c>
    </row>
    <row r="138" spans="1:28" ht="15.75" customHeight="1" x14ac:dyDescent="0.25">
      <c r="A138" s="8" t="s">
        <v>401</v>
      </c>
      <c r="B138" s="8" t="s">
        <v>402</v>
      </c>
      <c r="C138" s="9" t="s">
        <v>403</v>
      </c>
      <c r="D138" s="8" t="s">
        <v>8</v>
      </c>
      <c r="E138" s="8" t="s">
        <v>230</v>
      </c>
      <c r="F138" s="8">
        <v>950</v>
      </c>
      <c r="G138" s="8" t="s">
        <v>404</v>
      </c>
      <c r="H138" s="8">
        <v>27067650</v>
      </c>
      <c r="I138" s="8" t="s">
        <v>778</v>
      </c>
      <c r="J138" s="8" t="s">
        <v>440</v>
      </c>
      <c r="K138" s="8" t="s">
        <v>407</v>
      </c>
      <c r="L138" s="8" t="s">
        <v>414</v>
      </c>
      <c r="M138" s="8" t="s">
        <v>231</v>
      </c>
      <c r="N138" s="8">
        <v>8</v>
      </c>
      <c r="O138" s="8" t="s">
        <v>499</v>
      </c>
      <c r="P138" s="8" t="s">
        <v>66</v>
      </c>
      <c r="Q138" s="10" t="s">
        <v>779</v>
      </c>
      <c r="R138" s="11">
        <v>73228346</v>
      </c>
      <c r="S138" s="11">
        <v>1951000</v>
      </c>
      <c r="T138" s="11">
        <v>69655906</v>
      </c>
      <c r="U138" s="11">
        <v>92999999</v>
      </c>
      <c r="V138" s="12" t="s">
        <v>471</v>
      </c>
      <c r="W138" s="11">
        <v>0</v>
      </c>
      <c r="X138" s="11">
        <v>622441</v>
      </c>
      <c r="Y138" s="11">
        <f t="shared" si="21"/>
        <v>622441</v>
      </c>
      <c r="Z138" s="1">
        <f>+X138/R138</f>
        <v>8.5000008056989301E-3</v>
      </c>
      <c r="AA138" s="13"/>
      <c r="AB138" s="10" t="s">
        <v>412</v>
      </c>
    </row>
    <row r="139" spans="1:28" ht="15.75" customHeight="1" x14ac:dyDescent="0.25">
      <c r="A139" s="8" t="s">
        <v>401</v>
      </c>
      <c r="B139" s="8" t="s">
        <v>402</v>
      </c>
      <c r="C139" s="9" t="s">
        <v>403</v>
      </c>
      <c r="D139" s="8" t="s">
        <v>8</v>
      </c>
      <c r="E139" s="8" t="s">
        <v>230</v>
      </c>
      <c r="F139" s="8">
        <v>950</v>
      </c>
      <c r="G139" s="8" t="s">
        <v>577</v>
      </c>
      <c r="H139" s="8">
        <v>27064020</v>
      </c>
      <c r="I139" s="8" t="s">
        <v>780</v>
      </c>
      <c r="J139" s="8" t="s">
        <v>456</v>
      </c>
      <c r="K139" s="8" t="s">
        <v>407</v>
      </c>
      <c r="L139" s="8" t="s">
        <v>415</v>
      </c>
      <c r="M139" s="8" t="s">
        <v>236</v>
      </c>
      <c r="N139" s="8">
        <v>8</v>
      </c>
      <c r="O139" s="8" t="s">
        <v>429</v>
      </c>
      <c r="P139" s="8" t="s">
        <v>27</v>
      </c>
      <c r="Q139" s="10" t="s">
        <v>781</v>
      </c>
      <c r="R139" s="11">
        <v>45661417</v>
      </c>
      <c r="S139" s="11">
        <v>695700</v>
      </c>
      <c r="T139" s="11">
        <v>41856299</v>
      </c>
      <c r="U139" s="11">
        <v>57990000</v>
      </c>
      <c r="V139" s="12" t="s">
        <v>411</v>
      </c>
      <c r="W139" s="11">
        <v>0</v>
      </c>
      <c r="X139" s="11">
        <v>388122</v>
      </c>
      <c r="Y139" s="11">
        <f t="shared" si="21"/>
        <v>388122</v>
      </c>
      <c r="Z139" s="1">
        <f>+X139/R139</f>
        <v>8.4999990254354136E-3</v>
      </c>
      <c r="AA139" s="13"/>
      <c r="AB139" s="10" t="s">
        <v>412</v>
      </c>
    </row>
    <row r="140" spans="1:28" ht="15.75" customHeight="1" x14ac:dyDescent="0.25">
      <c r="A140" s="8" t="s">
        <v>401</v>
      </c>
      <c r="B140" s="8" t="s">
        <v>402</v>
      </c>
      <c r="C140" s="9" t="s">
        <v>403</v>
      </c>
      <c r="D140" s="8" t="s">
        <v>8</v>
      </c>
      <c r="E140" s="8" t="s">
        <v>230</v>
      </c>
      <c r="F140" s="8">
        <v>950</v>
      </c>
      <c r="G140" s="8" t="s">
        <v>404</v>
      </c>
      <c r="H140" s="8">
        <v>26991895</v>
      </c>
      <c r="I140" s="8" t="s">
        <v>782</v>
      </c>
      <c r="J140" s="8" t="s">
        <v>456</v>
      </c>
      <c r="K140" s="8" t="s">
        <v>407</v>
      </c>
      <c r="L140" s="8" t="s">
        <v>415</v>
      </c>
      <c r="M140" s="8" t="s">
        <v>235</v>
      </c>
      <c r="N140" s="8">
        <v>8</v>
      </c>
      <c r="O140" s="8" t="s">
        <v>429</v>
      </c>
      <c r="P140" s="8" t="s">
        <v>27</v>
      </c>
      <c r="Q140" s="10" t="s">
        <v>783</v>
      </c>
      <c r="R140" s="11">
        <v>45661417</v>
      </c>
      <c r="S140" s="11">
        <v>695700</v>
      </c>
      <c r="T140" s="11">
        <v>41856299</v>
      </c>
      <c r="U140" s="11">
        <v>57990000</v>
      </c>
      <c r="V140" s="12" t="s">
        <v>411</v>
      </c>
      <c r="W140" s="11">
        <v>0</v>
      </c>
      <c r="X140" s="11">
        <v>388122</v>
      </c>
      <c r="Y140" s="11">
        <f t="shared" si="21"/>
        <v>388122</v>
      </c>
      <c r="Z140" s="1">
        <f>+X140/R140</f>
        <v>8.4999990254354136E-3</v>
      </c>
      <c r="AA140" s="13"/>
      <c r="AB140" s="10" t="s">
        <v>412</v>
      </c>
    </row>
    <row r="141" spans="1:28" ht="15.75" customHeight="1" x14ac:dyDescent="0.25">
      <c r="A141" s="8" t="s">
        <v>401</v>
      </c>
      <c r="B141" s="8" t="s">
        <v>402</v>
      </c>
      <c r="C141" s="9" t="s">
        <v>403</v>
      </c>
      <c r="D141" s="8" t="s">
        <v>8</v>
      </c>
      <c r="E141" s="8" t="s">
        <v>230</v>
      </c>
      <c r="F141" s="8">
        <v>950</v>
      </c>
      <c r="G141" s="8" t="s">
        <v>404</v>
      </c>
      <c r="H141" s="8">
        <v>27062446</v>
      </c>
      <c r="I141" s="8" t="s">
        <v>784</v>
      </c>
      <c r="J141" s="8" t="s">
        <v>456</v>
      </c>
      <c r="K141" s="8" t="s">
        <v>407</v>
      </c>
      <c r="L141" s="8" t="s">
        <v>415</v>
      </c>
      <c r="M141" s="8" t="s">
        <v>237</v>
      </c>
      <c r="N141" s="8">
        <v>8</v>
      </c>
      <c r="O141" s="8" t="s">
        <v>458</v>
      </c>
      <c r="P141" s="8" t="s">
        <v>43</v>
      </c>
      <c r="Q141" s="10" t="s">
        <v>785</v>
      </c>
      <c r="R141" s="11">
        <v>51763780</v>
      </c>
      <c r="S141" s="11">
        <v>695700</v>
      </c>
      <c r="T141" s="11">
        <v>46908793</v>
      </c>
      <c r="U141" s="11">
        <v>65740001</v>
      </c>
      <c r="V141" s="12" t="s">
        <v>417</v>
      </c>
      <c r="W141" s="11">
        <v>0</v>
      </c>
      <c r="X141" s="11">
        <v>439992</v>
      </c>
      <c r="Y141" s="11">
        <f t="shared" si="21"/>
        <v>439992</v>
      </c>
      <c r="Z141" s="1">
        <f>+X141/R141</f>
        <v>8.4999974885914438E-3</v>
      </c>
      <c r="AA141" s="13"/>
      <c r="AB141" s="10" t="s">
        <v>412</v>
      </c>
    </row>
    <row r="142" spans="1:28" ht="15.75" customHeight="1" x14ac:dyDescent="0.25">
      <c r="A142" s="8" t="s">
        <v>401</v>
      </c>
      <c r="B142" s="8" t="s">
        <v>402</v>
      </c>
      <c r="C142" s="9" t="s">
        <v>403</v>
      </c>
      <c r="D142" s="8" t="s">
        <v>8</v>
      </c>
      <c r="E142" s="8" t="s">
        <v>230</v>
      </c>
      <c r="F142" s="8">
        <v>950</v>
      </c>
      <c r="G142" s="8" t="s">
        <v>577</v>
      </c>
      <c r="H142" s="8">
        <v>27077366</v>
      </c>
      <c r="I142" s="8" t="s">
        <v>786</v>
      </c>
      <c r="J142" s="8" t="s">
        <v>457</v>
      </c>
      <c r="K142" s="8" t="s">
        <v>407</v>
      </c>
      <c r="L142" s="8" t="s">
        <v>415</v>
      </c>
      <c r="M142" s="8" t="s">
        <v>238</v>
      </c>
      <c r="N142" s="8">
        <v>8</v>
      </c>
      <c r="O142" s="8" t="s">
        <v>441</v>
      </c>
      <c r="P142" s="8" t="s">
        <v>30</v>
      </c>
      <c r="Q142" s="10" t="s">
        <v>787</v>
      </c>
      <c r="R142" s="11">
        <v>136495575</v>
      </c>
      <c r="S142" s="11">
        <v>3111300</v>
      </c>
      <c r="T142" s="11">
        <v>127425664</v>
      </c>
      <c r="U142" s="11">
        <v>154240000</v>
      </c>
      <c r="V142" s="12" t="s">
        <v>463</v>
      </c>
      <c r="W142" s="11">
        <v>85235000</v>
      </c>
      <c r="X142" s="11">
        <v>1160212</v>
      </c>
      <c r="Y142" s="11">
        <v>0</v>
      </c>
      <c r="Z142" s="1">
        <f>+X142/R142</f>
        <v>8.4999971610801306E-3</v>
      </c>
      <c r="AA142" s="13"/>
      <c r="AB142" s="10" t="s">
        <v>412</v>
      </c>
    </row>
    <row r="143" spans="1:28" ht="15.75" customHeight="1" x14ac:dyDescent="0.25">
      <c r="A143" s="8" t="s">
        <v>401</v>
      </c>
      <c r="B143" s="8" t="s">
        <v>402</v>
      </c>
      <c r="C143" s="9" t="s">
        <v>403</v>
      </c>
      <c r="D143" s="8" t="s">
        <v>8</v>
      </c>
      <c r="E143" s="8" t="s">
        <v>240</v>
      </c>
      <c r="F143" s="8">
        <v>464</v>
      </c>
      <c r="G143" s="8" t="s">
        <v>404</v>
      </c>
      <c r="H143" s="8">
        <v>27071658</v>
      </c>
      <c r="I143" s="8" t="s">
        <v>788</v>
      </c>
      <c r="J143" s="8" t="s">
        <v>408</v>
      </c>
      <c r="K143" s="8" t="s">
        <v>407</v>
      </c>
      <c r="L143" s="8" t="s">
        <v>408</v>
      </c>
      <c r="M143" s="8" t="s">
        <v>241</v>
      </c>
      <c r="N143" s="8">
        <v>4</v>
      </c>
      <c r="O143" s="8" t="s">
        <v>429</v>
      </c>
      <c r="P143" s="8" t="s">
        <v>27</v>
      </c>
      <c r="Q143" s="10" t="s">
        <v>789</v>
      </c>
      <c r="R143" s="11">
        <v>45661417</v>
      </c>
      <c r="S143" s="11">
        <v>695700</v>
      </c>
      <c r="T143" s="11">
        <v>41856299</v>
      </c>
      <c r="U143" s="11">
        <v>57990000</v>
      </c>
      <c r="V143" s="14" t="s">
        <v>411</v>
      </c>
      <c r="W143" s="11">
        <v>57990000</v>
      </c>
      <c r="X143" s="11">
        <v>182646</v>
      </c>
      <c r="Y143" s="11">
        <v>0</v>
      </c>
      <c r="Z143" s="1">
        <f>+X143/R143</f>
        <v>4.0000072709088291E-3</v>
      </c>
      <c r="AA143" s="13"/>
      <c r="AB143" s="10" t="s">
        <v>412</v>
      </c>
    </row>
    <row r="144" spans="1:28" ht="15.75" customHeight="1" x14ac:dyDescent="0.25">
      <c r="A144" s="8" t="s">
        <v>401</v>
      </c>
      <c r="B144" s="8" t="s">
        <v>402</v>
      </c>
      <c r="C144" s="9" t="s">
        <v>403</v>
      </c>
      <c r="D144" s="8" t="s">
        <v>8</v>
      </c>
      <c r="E144" s="8" t="s">
        <v>240</v>
      </c>
      <c r="F144" s="8">
        <v>464</v>
      </c>
      <c r="G144" s="8" t="s">
        <v>557</v>
      </c>
      <c r="H144" s="8">
        <v>27050820</v>
      </c>
      <c r="I144" s="8" t="s">
        <v>790</v>
      </c>
      <c r="J144" s="8" t="s">
        <v>439</v>
      </c>
      <c r="K144" s="8" t="s">
        <v>423</v>
      </c>
      <c r="L144" s="8" t="s">
        <v>456</v>
      </c>
      <c r="M144" s="8" t="s">
        <v>244</v>
      </c>
      <c r="N144" s="8">
        <v>4</v>
      </c>
      <c r="O144" s="8" t="s">
        <v>435</v>
      </c>
      <c r="P144" s="8" t="s">
        <v>32</v>
      </c>
      <c r="Q144" s="10" t="s">
        <v>791</v>
      </c>
      <c r="R144" s="11">
        <v>87380531</v>
      </c>
      <c r="S144" s="11">
        <v>1505600</v>
      </c>
      <c r="T144" s="11">
        <v>85995047</v>
      </c>
      <c r="U144" s="11">
        <v>98740000</v>
      </c>
      <c r="V144" s="14" t="s">
        <v>454</v>
      </c>
      <c r="W144" s="11">
        <v>0</v>
      </c>
      <c r="X144" s="11">
        <v>349522</v>
      </c>
      <c r="Y144" s="11">
        <f>X144</f>
        <v>349522</v>
      </c>
      <c r="Z144" s="1">
        <f>+X144/R144</f>
        <v>3.999998580919587E-3</v>
      </c>
      <c r="AA144" s="13"/>
      <c r="AB144" s="10" t="s">
        <v>412</v>
      </c>
    </row>
    <row r="145" spans="1:28" ht="15.75" customHeight="1" x14ac:dyDescent="0.25">
      <c r="A145" s="8" t="s">
        <v>401</v>
      </c>
      <c r="B145" s="8" t="s">
        <v>402</v>
      </c>
      <c r="C145" s="9" t="s">
        <v>403</v>
      </c>
      <c r="D145" s="8" t="s">
        <v>8</v>
      </c>
      <c r="E145" s="8" t="s">
        <v>240</v>
      </c>
      <c r="F145" s="8">
        <v>464</v>
      </c>
      <c r="G145" s="8" t="s">
        <v>577</v>
      </c>
      <c r="H145" s="8">
        <v>27048812</v>
      </c>
      <c r="I145" s="8" t="s">
        <v>792</v>
      </c>
      <c r="J145" s="8" t="s">
        <v>439</v>
      </c>
      <c r="K145" s="8" t="s">
        <v>422</v>
      </c>
      <c r="L145" s="8" t="s">
        <v>434</v>
      </c>
      <c r="M145" s="8" t="s">
        <v>242</v>
      </c>
      <c r="N145" s="8">
        <v>4</v>
      </c>
      <c r="O145" s="8" t="s">
        <v>441</v>
      </c>
      <c r="P145" s="8" t="s">
        <v>30</v>
      </c>
      <c r="Q145" s="10" t="s">
        <v>793</v>
      </c>
      <c r="R145" s="11">
        <v>136495575</v>
      </c>
      <c r="S145" s="11">
        <v>1588300</v>
      </c>
      <c r="T145" s="11">
        <v>127425664</v>
      </c>
      <c r="U145" s="11">
        <v>154240000</v>
      </c>
      <c r="V145" s="14" t="s">
        <v>463</v>
      </c>
      <c r="W145" s="11">
        <v>0</v>
      </c>
      <c r="X145" s="11">
        <v>545982</v>
      </c>
      <c r="Y145" s="11">
        <f>+X145</f>
        <v>545982</v>
      </c>
      <c r="Z145" s="1">
        <f>+X145/R145</f>
        <v>3.9999978021265526E-3</v>
      </c>
      <c r="AA145" s="13"/>
      <c r="AB145" s="10" t="s">
        <v>412</v>
      </c>
    </row>
    <row r="146" spans="1:28" ht="15.75" customHeight="1" x14ac:dyDescent="0.25">
      <c r="A146" s="8" t="s">
        <v>401</v>
      </c>
      <c r="B146" s="8" t="s">
        <v>402</v>
      </c>
      <c r="C146" s="9" t="s">
        <v>403</v>
      </c>
      <c r="D146" s="8" t="s">
        <v>8</v>
      </c>
      <c r="E146" s="8" t="s">
        <v>240</v>
      </c>
      <c r="F146" s="8">
        <v>464</v>
      </c>
      <c r="G146" s="8" t="s">
        <v>496</v>
      </c>
      <c r="H146" s="8">
        <v>27084617</v>
      </c>
      <c r="I146" s="8" t="s">
        <v>794</v>
      </c>
      <c r="J146" s="8" t="s">
        <v>415</v>
      </c>
      <c r="K146" s="8" t="s">
        <v>407</v>
      </c>
      <c r="L146" s="8" t="s">
        <v>408</v>
      </c>
      <c r="M146" s="8" t="s">
        <v>243</v>
      </c>
      <c r="N146" s="8">
        <v>4</v>
      </c>
      <c r="O146" s="8" t="s">
        <v>568</v>
      </c>
      <c r="P146" s="8" t="s">
        <v>101</v>
      </c>
      <c r="Q146" s="10" t="s">
        <v>795</v>
      </c>
      <c r="R146" s="11">
        <v>154496814</v>
      </c>
      <c r="S146" s="11">
        <v>849600</v>
      </c>
      <c r="T146" s="11">
        <v>141761947</v>
      </c>
      <c r="U146" s="11">
        <v>174581400</v>
      </c>
      <c r="V146" s="14" t="s">
        <v>411</v>
      </c>
      <c r="W146" s="11">
        <v>107851000</v>
      </c>
      <c r="X146" s="11">
        <v>617987</v>
      </c>
      <c r="Y146" s="11">
        <v>0</v>
      </c>
      <c r="Z146" s="1">
        <f>+X146/R146</f>
        <v>3.9999983430079019E-3</v>
      </c>
      <c r="AA146" s="13"/>
      <c r="AB146" s="10" t="s">
        <v>412</v>
      </c>
    </row>
    <row r="147" spans="1:28" ht="15.75" customHeight="1" x14ac:dyDescent="0.25">
      <c r="A147" s="8" t="s">
        <v>401</v>
      </c>
      <c r="B147" s="8" t="s">
        <v>402</v>
      </c>
      <c r="C147" s="9" t="s">
        <v>403</v>
      </c>
      <c r="D147" s="8" t="s">
        <v>8</v>
      </c>
      <c r="E147" s="8" t="s">
        <v>171</v>
      </c>
      <c r="F147" s="8">
        <v>297</v>
      </c>
      <c r="G147" s="8" t="s">
        <v>679</v>
      </c>
      <c r="H147" s="8">
        <v>27008485</v>
      </c>
      <c r="I147" s="8" t="s">
        <v>796</v>
      </c>
      <c r="J147" s="8" t="s">
        <v>797</v>
      </c>
      <c r="K147" s="8" t="s">
        <v>798</v>
      </c>
      <c r="L147" s="8" t="s">
        <v>649</v>
      </c>
      <c r="M147" s="8" t="s">
        <v>247</v>
      </c>
      <c r="N147" s="8">
        <v>4</v>
      </c>
      <c r="O147" s="8" t="s">
        <v>799</v>
      </c>
      <c r="P147" s="8" t="s">
        <v>246</v>
      </c>
      <c r="Q147" s="10" t="s">
        <v>800</v>
      </c>
      <c r="R147" s="11">
        <v>69411765</v>
      </c>
      <c r="S147" s="11">
        <v>2084000</v>
      </c>
      <c r="T147" s="11">
        <v>62752543</v>
      </c>
      <c r="U147" s="11">
        <v>82600000</v>
      </c>
      <c r="V147" s="12" t="s">
        <v>554</v>
      </c>
      <c r="W147" s="11">
        <v>0</v>
      </c>
      <c r="X147" s="11">
        <v>347059</v>
      </c>
      <c r="Y147" s="11">
        <f t="shared" ref="Y147:Y152" si="22">+X147</f>
        <v>347059</v>
      </c>
      <c r="Z147" s="1">
        <f>+X147/R147</f>
        <v>5.0000025211864299E-3</v>
      </c>
      <c r="AA147" s="13"/>
      <c r="AB147" s="10" t="s">
        <v>412</v>
      </c>
    </row>
    <row r="148" spans="1:28" ht="15.75" customHeight="1" x14ac:dyDescent="0.25">
      <c r="A148" s="8" t="s">
        <v>401</v>
      </c>
      <c r="B148" s="8" t="s">
        <v>402</v>
      </c>
      <c r="C148" s="9" t="s">
        <v>403</v>
      </c>
      <c r="D148" s="8" t="s">
        <v>8</v>
      </c>
      <c r="E148" s="8" t="s">
        <v>248</v>
      </c>
      <c r="F148" s="8">
        <v>272</v>
      </c>
      <c r="G148" s="8" t="s">
        <v>510</v>
      </c>
      <c r="H148" s="8">
        <v>27030498</v>
      </c>
      <c r="I148" s="8" t="s">
        <v>801</v>
      </c>
      <c r="J148" s="8" t="s">
        <v>798</v>
      </c>
      <c r="K148" s="8" t="s">
        <v>422</v>
      </c>
      <c r="L148" s="8" t="s">
        <v>681</v>
      </c>
      <c r="M148" s="8" t="s">
        <v>253</v>
      </c>
      <c r="N148" s="8">
        <v>14</v>
      </c>
      <c r="O148" s="8" t="s">
        <v>445</v>
      </c>
      <c r="P148" s="8" t="s">
        <v>36</v>
      </c>
      <c r="Q148" s="10" t="s">
        <v>802</v>
      </c>
      <c r="R148" s="11">
        <v>71614488</v>
      </c>
      <c r="S148" s="11">
        <v>1431000</v>
      </c>
      <c r="T148" s="11">
        <v>68212336</v>
      </c>
      <c r="U148" s="11">
        <v>90950400</v>
      </c>
      <c r="V148" s="12" t="s">
        <v>471</v>
      </c>
      <c r="W148" s="11">
        <v>0</v>
      </c>
      <c r="X148" s="11">
        <v>608723</v>
      </c>
      <c r="Y148" s="11">
        <f t="shared" si="22"/>
        <v>608723</v>
      </c>
      <c r="Z148" s="1">
        <f>+X148/R148</f>
        <v>8.4999979333790672E-3</v>
      </c>
      <c r="AA148" s="13"/>
      <c r="AB148" s="10" t="s">
        <v>412</v>
      </c>
    </row>
    <row r="149" spans="1:28" ht="15.75" customHeight="1" x14ac:dyDescent="0.25">
      <c r="A149" s="8" t="s">
        <v>401</v>
      </c>
      <c r="B149" s="8" t="s">
        <v>402</v>
      </c>
      <c r="C149" s="9" t="s">
        <v>403</v>
      </c>
      <c r="D149" s="8" t="s">
        <v>8</v>
      </c>
      <c r="E149" s="8" t="s">
        <v>248</v>
      </c>
      <c r="F149" s="8">
        <v>272</v>
      </c>
      <c r="G149" s="8" t="s">
        <v>496</v>
      </c>
      <c r="H149" s="8">
        <v>27055029</v>
      </c>
      <c r="I149" s="8" t="s">
        <v>803</v>
      </c>
      <c r="J149" s="8" t="s">
        <v>452</v>
      </c>
      <c r="K149" s="8" t="s">
        <v>444</v>
      </c>
      <c r="L149" s="8" t="s">
        <v>414</v>
      </c>
      <c r="M149" s="8" t="s">
        <v>249</v>
      </c>
      <c r="N149" s="8">
        <v>14</v>
      </c>
      <c r="O149" s="8" t="s">
        <v>409</v>
      </c>
      <c r="P149" s="8" t="s">
        <v>21</v>
      </c>
      <c r="Q149" s="10" t="s">
        <v>804</v>
      </c>
      <c r="R149" s="11">
        <v>82366299</v>
      </c>
      <c r="S149" s="11">
        <v>1431000</v>
      </c>
      <c r="T149" s="11">
        <v>77595538</v>
      </c>
      <c r="U149" s="11">
        <v>104605200</v>
      </c>
      <c r="V149" s="12" t="s">
        <v>426</v>
      </c>
      <c r="W149" s="11">
        <v>0</v>
      </c>
      <c r="X149" s="11">
        <v>700114</v>
      </c>
      <c r="Y149" s="11">
        <f t="shared" si="22"/>
        <v>700114</v>
      </c>
      <c r="Z149" s="1">
        <f>+X149/R149</f>
        <v>8.5000055665970867E-3</v>
      </c>
      <c r="AA149" s="13"/>
      <c r="AB149" s="10" t="s">
        <v>412</v>
      </c>
    </row>
    <row r="150" spans="1:28" ht="15.75" customHeight="1" x14ac:dyDescent="0.25">
      <c r="A150" s="8" t="s">
        <v>401</v>
      </c>
      <c r="B150" s="8" t="s">
        <v>402</v>
      </c>
      <c r="C150" s="9" t="s">
        <v>403</v>
      </c>
      <c r="D150" s="8" t="s">
        <v>8</v>
      </c>
      <c r="E150" s="8" t="s">
        <v>248</v>
      </c>
      <c r="F150" s="8">
        <v>272</v>
      </c>
      <c r="G150" s="8" t="s">
        <v>404</v>
      </c>
      <c r="H150" s="8">
        <v>27054451</v>
      </c>
      <c r="I150" s="8" t="s">
        <v>805</v>
      </c>
      <c r="J150" s="8" t="s">
        <v>414</v>
      </c>
      <c r="K150" s="8" t="s">
        <v>407</v>
      </c>
      <c r="L150" s="8" t="s">
        <v>415</v>
      </c>
      <c r="M150" s="8" t="s">
        <v>250</v>
      </c>
      <c r="N150" s="8">
        <v>14</v>
      </c>
      <c r="O150" s="8" t="s">
        <v>409</v>
      </c>
      <c r="P150" s="8" t="s">
        <v>21</v>
      </c>
      <c r="Q150" s="10" t="s">
        <v>806</v>
      </c>
      <c r="R150" s="11">
        <v>82366299</v>
      </c>
      <c r="S150" s="11">
        <v>1464000</v>
      </c>
      <c r="T150" s="11">
        <v>76151969</v>
      </c>
      <c r="U150" s="11">
        <v>104605200</v>
      </c>
      <c r="V150" s="12" t="s">
        <v>411</v>
      </c>
      <c r="W150" s="11">
        <v>0</v>
      </c>
      <c r="X150" s="11">
        <v>700114</v>
      </c>
      <c r="Y150" s="11">
        <f t="shared" si="22"/>
        <v>700114</v>
      </c>
      <c r="Z150" s="1">
        <f>+X150/R150</f>
        <v>8.5000055665970867E-3</v>
      </c>
      <c r="AA150" s="13"/>
      <c r="AB150" s="10" t="s">
        <v>412</v>
      </c>
    </row>
    <row r="151" spans="1:28" ht="15.75" customHeight="1" x14ac:dyDescent="0.25">
      <c r="A151" s="8" t="s">
        <v>401</v>
      </c>
      <c r="B151" s="8" t="s">
        <v>402</v>
      </c>
      <c r="C151" s="9" t="s">
        <v>403</v>
      </c>
      <c r="D151" s="8" t="s">
        <v>8</v>
      </c>
      <c r="E151" s="8" t="s">
        <v>248</v>
      </c>
      <c r="F151" s="8">
        <v>272</v>
      </c>
      <c r="G151" s="8" t="s">
        <v>404</v>
      </c>
      <c r="H151" s="8">
        <v>27062580</v>
      </c>
      <c r="I151" s="8" t="s">
        <v>807</v>
      </c>
      <c r="J151" s="8" t="s">
        <v>456</v>
      </c>
      <c r="K151" s="8" t="s">
        <v>407</v>
      </c>
      <c r="L151" s="8" t="s">
        <v>457</v>
      </c>
      <c r="M151" s="8" t="s">
        <v>252</v>
      </c>
      <c r="N151" s="8">
        <v>14</v>
      </c>
      <c r="O151" s="8" t="s">
        <v>424</v>
      </c>
      <c r="P151" s="8" t="s">
        <v>25</v>
      </c>
      <c r="Q151" s="10" t="s">
        <v>808</v>
      </c>
      <c r="R151" s="11">
        <v>83259843</v>
      </c>
      <c r="S151" s="11">
        <v>1431000</v>
      </c>
      <c r="T151" s="11">
        <v>76873753</v>
      </c>
      <c r="U151" s="11">
        <v>105740001</v>
      </c>
      <c r="V151" s="12" t="s">
        <v>411</v>
      </c>
      <c r="W151" s="11">
        <v>0</v>
      </c>
      <c r="X151" s="11">
        <v>707709</v>
      </c>
      <c r="Y151" s="11">
        <f t="shared" si="22"/>
        <v>707709</v>
      </c>
      <c r="Z151" s="1">
        <f>+X151/R151</f>
        <v>8.5000040175430072E-3</v>
      </c>
      <c r="AA151" s="13"/>
      <c r="AB151" s="10" t="s">
        <v>412</v>
      </c>
    </row>
    <row r="152" spans="1:28" ht="15.75" customHeight="1" x14ac:dyDescent="0.25">
      <c r="A152" s="8" t="s">
        <v>401</v>
      </c>
      <c r="B152" s="8" t="s">
        <v>402</v>
      </c>
      <c r="C152" s="9" t="s">
        <v>403</v>
      </c>
      <c r="D152" s="8" t="s">
        <v>8</v>
      </c>
      <c r="E152" s="8" t="s">
        <v>248</v>
      </c>
      <c r="F152" s="8">
        <v>272</v>
      </c>
      <c r="G152" s="8" t="s">
        <v>510</v>
      </c>
      <c r="H152" s="8">
        <v>27066842</v>
      </c>
      <c r="I152" s="8" t="s">
        <v>809</v>
      </c>
      <c r="J152" s="8" t="s">
        <v>440</v>
      </c>
      <c r="K152" s="8" t="s">
        <v>407</v>
      </c>
      <c r="L152" s="8" t="s">
        <v>415</v>
      </c>
      <c r="M152" s="8" t="s">
        <v>251</v>
      </c>
      <c r="N152" s="8">
        <v>14</v>
      </c>
      <c r="O152" s="8" t="s">
        <v>469</v>
      </c>
      <c r="P152" s="8" t="s">
        <v>49</v>
      </c>
      <c r="Q152" s="10" t="s">
        <v>810</v>
      </c>
      <c r="R152" s="11">
        <v>68127165</v>
      </c>
      <c r="S152" s="11">
        <v>1431000</v>
      </c>
      <c r="T152" s="11">
        <v>64603412</v>
      </c>
      <c r="U152" s="11">
        <v>86521500</v>
      </c>
      <c r="V152" s="12" t="s">
        <v>471</v>
      </c>
      <c r="W152" s="11">
        <v>0</v>
      </c>
      <c r="X152" s="11">
        <v>579081</v>
      </c>
      <c r="Y152" s="11">
        <f t="shared" si="22"/>
        <v>579081</v>
      </c>
      <c r="Z152" s="1">
        <f>+X152/R152</f>
        <v>8.5000014311471788E-3</v>
      </c>
      <c r="AA152" s="13"/>
      <c r="AB152" s="10" t="s">
        <v>412</v>
      </c>
    </row>
    <row r="153" spans="1:28" ht="15.75" customHeight="1" x14ac:dyDescent="0.25">
      <c r="A153" s="8" t="s">
        <v>401</v>
      </c>
      <c r="B153" s="8" t="s">
        <v>402</v>
      </c>
      <c r="C153" s="9" t="s">
        <v>403</v>
      </c>
      <c r="D153" s="8" t="s">
        <v>8</v>
      </c>
      <c r="E153" s="8" t="s">
        <v>248</v>
      </c>
      <c r="F153" s="8">
        <v>272</v>
      </c>
      <c r="G153" s="8" t="s">
        <v>404</v>
      </c>
      <c r="H153" s="8">
        <v>27074207</v>
      </c>
      <c r="I153" s="8" t="s">
        <v>811</v>
      </c>
      <c r="J153" s="8" t="s">
        <v>414</v>
      </c>
      <c r="K153" s="8" t="s">
        <v>407</v>
      </c>
      <c r="L153" s="8" t="s">
        <v>408</v>
      </c>
      <c r="M153" s="8" t="s">
        <v>255</v>
      </c>
      <c r="N153" s="8">
        <v>14</v>
      </c>
      <c r="O153" s="8" t="s">
        <v>429</v>
      </c>
      <c r="P153" s="8" t="s">
        <v>27</v>
      </c>
      <c r="Q153" s="10" t="s">
        <v>812</v>
      </c>
      <c r="R153" s="11">
        <v>45661417</v>
      </c>
      <c r="S153" s="11">
        <v>695700</v>
      </c>
      <c r="T153" s="11">
        <v>41856299</v>
      </c>
      <c r="U153" s="11">
        <v>57990000</v>
      </c>
      <c r="V153" s="12" t="s">
        <v>411</v>
      </c>
      <c r="W153" s="11">
        <v>57990000</v>
      </c>
      <c r="X153" s="11">
        <v>388122</v>
      </c>
      <c r="Y153" s="11">
        <v>0</v>
      </c>
      <c r="Z153" s="1">
        <f>+X153/R153</f>
        <v>8.4999990254354136E-3</v>
      </c>
      <c r="AA153" s="13"/>
      <c r="AB153" s="10" t="s">
        <v>412</v>
      </c>
    </row>
    <row r="154" spans="1:28" ht="15.75" customHeight="1" x14ac:dyDescent="0.25">
      <c r="A154" s="8" t="s">
        <v>401</v>
      </c>
      <c r="B154" s="8" t="s">
        <v>402</v>
      </c>
      <c r="C154" s="9" t="s">
        <v>403</v>
      </c>
      <c r="D154" s="8" t="s">
        <v>8</v>
      </c>
      <c r="E154" s="8" t="s">
        <v>248</v>
      </c>
      <c r="F154" s="8">
        <v>272</v>
      </c>
      <c r="G154" s="8" t="s">
        <v>505</v>
      </c>
      <c r="H154" s="8">
        <v>23151357</v>
      </c>
      <c r="I154" s="8" t="s">
        <v>813</v>
      </c>
      <c r="J154" s="8" t="s">
        <v>414</v>
      </c>
      <c r="K154" s="8" t="s">
        <v>407</v>
      </c>
      <c r="L154" s="8" t="s">
        <v>415</v>
      </c>
      <c r="M154" s="8" t="s">
        <v>256</v>
      </c>
      <c r="N154" s="8">
        <v>14</v>
      </c>
      <c r="O154" s="8" t="s">
        <v>429</v>
      </c>
      <c r="P154" s="8" t="s">
        <v>27</v>
      </c>
      <c r="Q154" s="10" t="s">
        <v>814</v>
      </c>
      <c r="R154" s="11">
        <v>45661417</v>
      </c>
      <c r="S154" s="11">
        <v>695700</v>
      </c>
      <c r="T154" s="11">
        <v>41856299</v>
      </c>
      <c r="U154" s="11">
        <v>57990000</v>
      </c>
      <c r="V154" s="12" t="s">
        <v>411</v>
      </c>
      <c r="W154" s="11">
        <v>0</v>
      </c>
      <c r="X154" s="11">
        <v>388122</v>
      </c>
      <c r="Y154" s="11">
        <f t="shared" ref="Y154:Y157" si="23">+X154</f>
        <v>388122</v>
      </c>
      <c r="Z154" s="1">
        <f>+X154/R154</f>
        <v>8.4999990254354136E-3</v>
      </c>
      <c r="AA154" s="13"/>
      <c r="AB154" s="10" t="s">
        <v>412</v>
      </c>
    </row>
    <row r="155" spans="1:28" ht="15.75" customHeight="1" x14ac:dyDescent="0.25">
      <c r="A155" s="8" t="s">
        <v>401</v>
      </c>
      <c r="B155" s="8" t="s">
        <v>402</v>
      </c>
      <c r="C155" s="9" t="s">
        <v>403</v>
      </c>
      <c r="D155" s="8" t="s">
        <v>8</v>
      </c>
      <c r="E155" s="8" t="s">
        <v>248</v>
      </c>
      <c r="F155" s="8">
        <v>272</v>
      </c>
      <c r="G155" s="8" t="s">
        <v>510</v>
      </c>
      <c r="H155" s="8">
        <v>27015092</v>
      </c>
      <c r="I155" s="8" t="s">
        <v>815</v>
      </c>
      <c r="J155" s="8" t="s">
        <v>428</v>
      </c>
      <c r="K155" s="8" t="s">
        <v>407</v>
      </c>
      <c r="L155" s="8" t="s">
        <v>415</v>
      </c>
      <c r="M155" s="8" t="s">
        <v>254</v>
      </c>
      <c r="N155" s="8">
        <v>14</v>
      </c>
      <c r="O155" s="8" t="s">
        <v>429</v>
      </c>
      <c r="P155" s="8" t="s">
        <v>27</v>
      </c>
      <c r="Q155" s="10" t="s">
        <v>816</v>
      </c>
      <c r="R155" s="11">
        <v>45661417</v>
      </c>
      <c r="S155" s="11">
        <v>695700</v>
      </c>
      <c r="T155" s="11">
        <v>41856299</v>
      </c>
      <c r="U155" s="11">
        <v>57990000</v>
      </c>
      <c r="V155" s="12" t="s">
        <v>411</v>
      </c>
      <c r="W155" s="11">
        <v>0</v>
      </c>
      <c r="X155" s="11">
        <v>388122</v>
      </c>
      <c r="Y155" s="11">
        <f t="shared" si="23"/>
        <v>388122</v>
      </c>
      <c r="Z155" s="1">
        <f>+X155/R155</f>
        <v>8.4999990254354136E-3</v>
      </c>
      <c r="AA155" s="13"/>
      <c r="AB155" s="10" t="s">
        <v>412</v>
      </c>
    </row>
    <row r="156" spans="1:28" ht="15.75" customHeight="1" x14ac:dyDescent="0.25">
      <c r="A156" s="8" t="s">
        <v>401</v>
      </c>
      <c r="B156" s="8" t="s">
        <v>402</v>
      </c>
      <c r="C156" s="9" t="s">
        <v>403</v>
      </c>
      <c r="D156" s="8" t="s">
        <v>8</v>
      </c>
      <c r="E156" s="8" t="s">
        <v>248</v>
      </c>
      <c r="F156" s="8">
        <v>272</v>
      </c>
      <c r="G156" s="8" t="s">
        <v>404</v>
      </c>
      <c r="H156" s="8">
        <v>27034525</v>
      </c>
      <c r="I156" s="8" t="s">
        <v>817</v>
      </c>
      <c r="J156" s="8" t="s">
        <v>456</v>
      </c>
      <c r="K156" s="8" t="s">
        <v>407</v>
      </c>
      <c r="L156" s="8" t="s">
        <v>415</v>
      </c>
      <c r="M156" s="8" t="s">
        <v>259</v>
      </c>
      <c r="N156" s="8">
        <v>14</v>
      </c>
      <c r="O156" s="8" t="s">
        <v>458</v>
      </c>
      <c r="P156" s="8" t="s">
        <v>43</v>
      </c>
      <c r="Q156" s="10" t="s">
        <v>818</v>
      </c>
      <c r="R156" s="11">
        <v>51763780</v>
      </c>
      <c r="S156" s="11">
        <v>695700</v>
      </c>
      <c r="T156" s="11">
        <v>46908793</v>
      </c>
      <c r="U156" s="11">
        <v>65740001</v>
      </c>
      <c r="V156" s="12" t="s">
        <v>417</v>
      </c>
      <c r="W156" s="11">
        <v>0</v>
      </c>
      <c r="X156" s="11">
        <v>439992</v>
      </c>
      <c r="Y156" s="11">
        <f t="shared" si="23"/>
        <v>439992</v>
      </c>
      <c r="Z156" s="1">
        <f>+X156/R156</f>
        <v>8.4999974885914438E-3</v>
      </c>
      <c r="AA156" s="13"/>
      <c r="AB156" s="10" t="s">
        <v>412</v>
      </c>
    </row>
    <row r="157" spans="1:28" ht="15.75" customHeight="1" x14ac:dyDescent="0.25">
      <c r="A157" s="8" t="s">
        <v>401</v>
      </c>
      <c r="B157" s="8" t="s">
        <v>402</v>
      </c>
      <c r="C157" s="9" t="s">
        <v>403</v>
      </c>
      <c r="D157" s="8" t="s">
        <v>8</v>
      </c>
      <c r="E157" s="8" t="s">
        <v>248</v>
      </c>
      <c r="F157" s="8">
        <v>272</v>
      </c>
      <c r="G157" s="8" t="s">
        <v>496</v>
      </c>
      <c r="H157" s="8">
        <v>26997800</v>
      </c>
      <c r="I157" s="8" t="s">
        <v>819</v>
      </c>
      <c r="J157" s="8" t="s">
        <v>456</v>
      </c>
      <c r="K157" s="8" t="s">
        <v>407</v>
      </c>
      <c r="L157" s="8" t="s">
        <v>415</v>
      </c>
      <c r="M157" s="8" t="s">
        <v>257</v>
      </c>
      <c r="N157" s="8">
        <v>14</v>
      </c>
      <c r="O157" s="8" t="s">
        <v>458</v>
      </c>
      <c r="P157" s="8" t="s">
        <v>43</v>
      </c>
      <c r="Q157" s="10" t="s">
        <v>820</v>
      </c>
      <c r="R157" s="11">
        <v>51763780</v>
      </c>
      <c r="S157" s="11">
        <v>695700</v>
      </c>
      <c r="T157" s="11">
        <v>46908793</v>
      </c>
      <c r="U157" s="11">
        <v>65740001</v>
      </c>
      <c r="V157" s="12" t="s">
        <v>417</v>
      </c>
      <c r="W157" s="11">
        <v>0</v>
      </c>
      <c r="X157" s="11">
        <v>439992</v>
      </c>
      <c r="Y157" s="11">
        <f t="shared" si="23"/>
        <v>439992</v>
      </c>
      <c r="Z157" s="1">
        <f>+X157/R157</f>
        <v>8.4999974885914438E-3</v>
      </c>
      <c r="AA157" s="13"/>
      <c r="AB157" s="10" t="s">
        <v>412</v>
      </c>
    </row>
    <row r="158" spans="1:28" ht="15.75" customHeight="1" x14ac:dyDescent="0.25">
      <c r="A158" s="8" t="s">
        <v>401</v>
      </c>
      <c r="B158" s="8" t="s">
        <v>402</v>
      </c>
      <c r="C158" s="9" t="s">
        <v>403</v>
      </c>
      <c r="D158" s="8" t="s">
        <v>8</v>
      </c>
      <c r="E158" s="8" t="s">
        <v>248</v>
      </c>
      <c r="F158" s="8">
        <v>272</v>
      </c>
      <c r="G158" s="8" t="s">
        <v>404</v>
      </c>
      <c r="H158" s="8">
        <v>27045388</v>
      </c>
      <c r="I158" s="8" t="s">
        <v>821</v>
      </c>
      <c r="J158" s="8" t="s">
        <v>456</v>
      </c>
      <c r="K158" s="8" t="s">
        <v>407</v>
      </c>
      <c r="L158" s="8" t="s">
        <v>415</v>
      </c>
      <c r="M158" s="8" t="s">
        <v>258</v>
      </c>
      <c r="N158" s="8">
        <v>14</v>
      </c>
      <c r="O158" s="8" t="s">
        <v>458</v>
      </c>
      <c r="P158" s="8" t="s">
        <v>43</v>
      </c>
      <c r="Q158" s="10" t="s">
        <v>822</v>
      </c>
      <c r="R158" s="11">
        <v>51763780</v>
      </c>
      <c r="S158" s="11">
        <v>695700</v>
      </c>
      <c r="T158" s="11">
        <v>46908793</v>
      </c>
      <c r="U158" s="11">
        <v>65740001</v>
      </c>
      <c r="V158" s="12" t="s">
        <v>417</v>
      </c>
      <c r="W158" s="11">
        <v>56926348</v>
      </c>
      <c r="X158" s="11">
        <v>439992</v>
      </c>
      <c r="Y158" s="11">
        <v>0</v>
      </c>
      <c r="Z158" s="1">
        <f>+X158/R158</f>
        <v>8.4999974885914438E-3</v>
      </c>
      <c r="AA158" s="13"/>
      <c r="AB158" s="10" t="s">
        <v>412</v>
      </c>
    </row>
    <row r="159" spans="1:28" ht="15.75" customHeight="1" x14ac:dyDescent="0.25">
      <c r="A159" s="8" t="s">
        <v>401</v>
      </c>
      <c r="B159" s="8" t="s">
        <v>402</v>
      </c>
      <c r="C159" s="9" t="s">
        <v>403</v>
      </c>
      <c r="D159" s="8" t="s">
        <v>8</v>
      </c>
      <c r="E159" s="8" t="s">
        <v>248</v>
      </c>
      <c r="F159" s="8">
        <v>272</v>
      </c>
      <c r="G159" s="8" t="s">
        <v>510</v>
      </c>
      <c r="H159" s="8">
        <v>27064008</v>
      </c>
      <c r="I159" s="8" t="s">
        <v>823</v>
      </c>
      <c r="J159" s="8" t="s">
        <v>440</v>
      </c>
      <c r="K159" s="8" t="s">
        <v>408</v>
      </c>
      <c r="L159" s="8" t="s">
        <v>423</v>
      </c>
      <c r="M159" s="8" t="s">
        <v>261</v>
      </c>
      <c r="N159" s="8">
        <v>14</v>
      </c>
      <c r="O159" s="8" t="s">
        <v>441</v>
      </c>
      <c r="P159" s="8" t="s">
        <v>30</v>
      </c>
      <c r="Q159" s="10" t="s">
        <v>824</v>
      </c>
      <c r="R159" s="11">
        <v>132400708</v>
      </c>
      <c r="S159" s="11">
        <v>798300</v>
      </c>
      <c r="T159" s="11">
        <v>127425664</v>
      </c>
      <c r="U159" s="11">
        <v>149612800</v>
      </c>
      <c r="V159" s="12" t="s">
        <v>622</v>
      </c>
      <c r="W159" s="11">
        <v>0</v>
      </c>
      <c r="X159" s="11">
        <v>1125406</v>
      </c>
      <c r="Y159" s="11">
        <f>+X159</f>
        <v>1125406</v>
      </c>
      <c r="Z159" s="1">
        <f>+X159/R159</f>
        <v>8.4999998640490661E-3</v>
      </c>
      <c r="AA159" s="13"/>
      <c r="AB159" s="10" t="s">
        <v>412</v>
      </c>
    </row>
    <row r="160" spans="1:28" ht="15.75" customHeight="1" x14ac:dyDescent="0.25">
      <c r="A160" s="8" t="s">
        <v>401</v>
      </c>
      <c r="B160" s="8" t="s">
        <v>402</v>
      </c>
      <c r="C160" s="9" t="s">
        <v>403</v>
      </c>
      <c r="D160" s="8" t="s">
        <v>8</v>
      </c>
      <c r="E160" s="8" t="s">
        <v>248</v>
      </c>
      <c r="F160" s="8">
        <v>272</v>
      </c>
      <c r="G160" s="8" t="s">
        <v>496</v>
      </c>
      <c r="H160" s="8">
        <v>27074637</v>
      </c>
      <c r="I160" s="8" t="s">
        <v>825</v>
      </c>
      <c r="J160" s="8" t="s">
        <v>428</v>
      </c>
      <c r="K160" s="8" t="s">
        <v>408</v>
      </c>
      <c r="L160" s="8" t="s">
        <v>408</v>
      </c>
      <c r="M160" s="8" t="s">
        <v>262</v>
      </c>
      <c r="N160" s="8">
        <v>14</v>
      </c>
      <c r="O160" s="8" t="s">
        <v>568</v>
      </c>
      <c r="P160" s="8" t="s">
        <v>101</v>
      </c>
      <c r="Q160" s="10" t="s">
        <v>826</v>
      </c>
      <c r="R160" s="11">
        <v>152144071</v>
      </c>
      <c r="S160" s="11">
        <v>1048300</v>
      </c>
      <c r="T160" s="11">
        <v>141761947</v>
      </c>
      <c r="U160" s="11">
        <v>171922800</v>
      </c>
      <c r="V160" s="12" t="s">
        <v>463</v>
      </c>
      <c r="W160" s="11">
        <v>151978300</v>
      </c>
      <c r="X160" s="11">
        <v>1293225</v>
      </c>
      <c r="Y160" s="11">
        <v>0</v>
      </c>
      <c r="Z160" s="1">
        <f>+X160/R160</f>
        <v>8.5000026060824945E-3</v>
      </c>
      <c r="AA160" s="13"/>
      <c r="AB160" s="10" t="s">
        <v>412</v>
      </c>
    </row>
    <row r="161" spans="1:28" ht="15.75" customHeight="1" x14ac:dyDescent="0.25">
      <c r="A161" s="8" t="s">
        <v>401</v>
      </c>
      <c r="B161" s="8" t="s">
        <v>402</v>
      </c>
      <c r="C161" s="9" t="s">
        <v>403</v>
      </c>
      <c r="D161" s="8" t="s">
        <v>8</v>
      </c>
      <c r="E161" s="8" t="s">
        <v>248</v>
      </c>
      <c r="F161" s="8">
        <v>272</v>
      </c>
      <c r="G161" s="8" t="s">
        <v>496</v>
      </c>
      <c r="H161" s="8">
        <v>27030545</v>
      </c>
      <c r="I161" s="8" t="s">
        <v>827</v>
      </c>
      <c r="J161" s="8" t="s">
        <v>798</v>
      </c>
      <c r="K161" s="8" t="s">
        <v>422</v>
      </c>
      <c r="L161" s="8" t="s">
        <v>489</v>
      </c>
      <c r="M161" s="8" t="s">
        <v>260</v>
      </c>
      <c r="N161" s="8">
        <v>14</v>
      </c>
      <c r="O161" s="8" t="s">
        <v>572</v>
      </c>
      <c r="P161" s="8" t="s">
        <v>108</v>
      </c>
      <c r="Q161" s="10" t="s">
        <v>828</v>
      </c>
      <c r="R161" s="11">
        <v>86082795</v>
      </c>
      <c r="S161" s="11">
        <v>1874000</v>
      </c>
      <c r="T161" s="11">
        <v>81554462</v>
      </c>
      <c r="U161" s="11">
        <v>109325150</v>
      </c>
      <c r="V161" s="12" t="s">
        <v>471</v>
      </c>
      <c r="W161" s="11">
        <v>0</v>
      </c>
      <c r="X161" s="11">
        <v>731704</v>
      </c>
      <c r="Y161" s="11">
        <f>+X161</f>
        <v>731704</v>
      </c>
      <c r="Z161" s="1">
        <f>+X161/R161</f>
        <v>8.5000028170553708E-3</v>
      </c>
      <c r="AA161" s="13"/>
      <c r="AB161" s="10" t="s">
        <v>412</v>
      </c>
    </row>
    <row r="162" spans="1:28" ht="15.75" customHeight="1" x14ac:dyDescent="0.25">
      <c r="A162" s="8" t="s">
        <v>401</v>
      </c>
      <c r="B162" s="8" t="s">
        <v>402</v>
      </c>
      <c r="C162" s="9" t="s">
        <v>403</v>
      </c>
      <c r="D162" s="8" t="s">
        <v>8</v>
      </c>
      <c r="E162" s="8" t="s">
        <v>264</v>
      </c>
      <c r="F162" s="8">
        <v>1044</v>
      </c>
      <c r="G162" s="8" t="s">
        <v>404</v>
      </c>
      <c r="H162" s="8">
        <v>27071400</v>
      </c>
      <c r="I162" s="8" t="s">
        <v>829</v>
      </c>
      <c r="J162" s="8" t="s">
        <v>422</v>
      </c>
      <c r="K162" s="8" t="s">
        <v>407</v>
      </c>
      <c r="L162" s="8" t="s">
        <v>408</v>
      </c>
      <c r="M162" s="8" t="s">
        <v>266</v>
      </c>
      <c r="N162" s="8">
        <v>5</v>
      </c>
      <c r="O162" s="8" t="s">
        <v>458</v>
      </c>
      <c r="P162" s="8" t="s">
        <v>43</v>
      </c>
      <c r="Q162" s="10" t="s">
        <v>830</v>
      </c>
      <c r="R162" s="11">
        <v>51763780</v>
      </c>
      <c r="S162" s="11">
        <v>695700</v>
      </c>
      <c r="T162" s="11">
        <v>46908793</v>
      </c>
      <c r="U162" s="11">
        <v>65740001</v>
      </c>
      <c r="V162" s="12" t="s">
        <v>417</v>
      </c>
      <c r="W162" s="11">
        <v>27404498</v>
      </c>
      <c r="X162" s="11">
        <f>+R162*0.5%</f>
        <v>258818.9</v>
      </c>
      <c r="Y162" s="11">
        <v>0</v>
      </c>
      <c r="Z162" s="1">
        <f>+X162/R162</f>
        <v>5.0000000000000001E-3</v>
      </c>
      <c r="AA162" s="13"/>
      <c r="AB162" s="10" t="s">
        <v>412</v>
      </c>
    </row>
    <row r="163" spans="1:28" ht="15.75" customHeight="1" x14ac:dyDescent="0.25">
      <c r="A163" s="8" t="s">
        <v>401</v>
      </c>
      <c r="B163" s="8" t="s">
        <v>402</v>
      </c>
      <c r="C163" s="9" t="s">
        <v>403</v>
      </c>
      <c r="D163" s="8" t="s">
        <v>8</v>
      </c>
      <c r="E163" s="8" t="s">
        <v>264</v>
      </c>
      <c r="F163" s="8">
        <v>1044</v>
      </c>
      <c r="G163" s="8" t="s">
        <v>404</v>
      </c>
      <c r="H163" s="8">
        <v>27037746</v>
      </c>
      <c r="I163" s="8" t="s">
        <v>831</v>
      </c>
      <c r="J163" s="8" t="s">
        <v>681</v>
      </c>
      <c r="K163" s="8" t="s">
        <v>832</v>
      </c>
      <c r="L163" s="8" t="s">
        <v>423</v>
      </c>
      <c r="M163" s="8" t="s">
        <v>265</v>
      </c>
      <c r="N163" s="8">
        <v>5</v>
      </c>
      <c r="O163" s="8" t="s">
        <v>512</v>
      </c>
      <c r="P163" s="8" t="s">
        <v>68</v>
      </c>
      <c r="Q163" s="10" t="s">
        <v>833</v>
      </c>
      <c r="R163" s="11">
        <v>127245664</v>
      </c>
      <c r="S163" s="11">
        <v>712800</v>
      </c>
      <c r="T163" s="11">
        <v>117868142</v>
      </c>
      <c r="U163" s="11">
        <v>143787600</v>
      </c>
      <c r="V163" s="12" t="s">
        <v>463</v>
      </c>
      <c r="W163" s="11">
        <v>0</v>
      </c>
      <c r="X163" s="11">
        <f>+R163*0.5%</f>
        <v>636228.32000000007</v>
      </c>
      <c r="Y163" s="11">
        <f t="shared" ref="Y163:Y164" si="24">+X163</f>
        <v>636228.32000000007</v>
      </c>
      <c r="Z163" s="1">
        <f>+X163/R163</f>
        <v>5.0000000000000001E-3</v>
      </c>
      <c r="AA163" s="13"/>
      <c r="AB163" s="10" t="s">
        <v>412</v>
      </c>
    </row>
    <row r="164" spans="1:28" ht="15.75" customHeight="1" x14ac:dyDescent="0.25">
      <c r="A164" s="8" t="s">
        <v>401</v>
      </c>
      <c r="B164" s="8" t="s">
        <v>402</v>
      </c>
      <c r="C164" s="9" t="s">
        <v>403</v>
      </c>
      <c r="D164" s="8" t="s">
        <v>8</v>
      </c>
      <c r="E164" s="8" t="s">
        <v>264</v>
      </c>
      <c r="F164" s="8">
        <v>1044</v>
      </c>
      <c r="G164" s="8" t="s">
        <v>404</v>
      </c>
      <c r="H164" s="8">
        <v>27042975</v>
      </c>
      <c r="I164" s="8" t="s">
        <v>834</v>
      </c>
      <c r="J164" s="8" t="s">
        <v>439</v>
      </c>
      <c r="K164" s="8" t="s">
        <v>407</v>
      </c>
      <c r="L164" s="8" t="s">
        <v>422</v>
      </c>
      <c r="M164" s="8" t="s">
        <v>270</v>
      </c>
      <c r="N164" s="8">
        <v>5</v>
      </c>
      <c r="O164" s="8" t="s">
        <v>835</v>
      </c>
      <c r="P164" s="8" t="s">
        <v>269</v>
      </c>
      <c r="Q164" s="10" t="s">
        <v>836</v>
      </c>
      <c r="R164" s="11">
        <v>76982301</v>
      </c>
      <c r="S164" s="11">
        <v>735600</v>
      </c>
      <c r="T164" s="11">
        <v>73938540</v>
      </c>
      <c r="U164" s="11">
        <v>86990000</v>
      </c>
      <c r="V164" s="12" t="s">
        <v>622</v>
      </c>
      <c r="W164" s="11">
        <v>0</v>
      </c>
      <c r="X164" s="11">
        <f>+R164*0.5%</f>
        <v>384911.505</v>
      </c>
      <c r="Y164" s="11">
        <f t="shared" si="24"/>
        <v>384911.505</v>
      </c>
      <c r="Z164" s="1">
        <f>+X164/R164</f>
        <v>5.0000000000000001E-3</v>
      </c>
      <c r="AA164" s="13"/>
      <c r="AB164" s="10" t="s">
        <v>412</v>
      </c>
    </row>
    <row r="165" spans="1:28" ht="15.75" customHeight="1" x14ac:dyDescent="0.25">
      <c r="A165" s="8" t="s">
        <v>401</v>
      </c>
      <c r="B165" s="8" t="s">
        <v>402</v>
      </c>
      <c r="C165" s="9" t="s">
        <v>403</v>
      </c>
      <c r="D165" s="8" t="s">
        <v>8</v>
      </c>
      <c r="E165" s="8" t="s">
        <v>264</v>
      </c>
      <c r="F165" s="8">
        <v>1044</v>
      </c>
      <c r="G165" s="8" t="s">
        <v>404</v>
      </c>
      <c r="H165" s="8">
        <v>27074737</v>
      </c>
      <c r="I165" s="8" t="s">
        <v>837</v>
      </c>
      <c r="J165" s="8" t="s">
        <v>414</v>
      </c>
      <c r="K165" s="8" t="s">
        <v>407</v>
      </c>
      <c r="L165" s="8" t="s">
        <v>408</v>
      </c>
      <c r="M165" s="8" t="s">
        <v>267</v>
      </c>
      <c r="N165" s="8">
        <v>5</v>
      </c>
      <c r="O165" s="8" t="s">
        <v>441</v>
      </c>
      <c r="P165" s="8" t="s">
        <v>30</v>
      </c>
      <c r="Q165" s="10" t="s">
        <v>838</v>
      </c>
      <c r="R165" s="11">
        <v>136495575</v>
      </c>
      <c r="S165" s="11">
        <v>3111900</v>
      </c>
      <c r="T165" s="11">
        <v>127425664</v>
      </c>
      <c r="U165" s="11">
        <v>154240000</v>
      </c>
      <c r="V165" s="12" t="s">
        <v>463</v>
      </c>
      <c r="W165" s="11">
        <v>91282200</v>
      </c>
      <c r="X165" s="11">
        <f>+R165*0.5%</f>
        <v>682477.875</v>
      </c>
      <c r="Y165" s="11">
        <v>0</v>
      </c>
      <c r="Z165" s="1">
        <f>+X165/R165</f>
        <v>5.0000000000000001E-3</v>
      </c>
      <c r="AA165" s="13"/>
      <c r="AB165" s="10" t="s">
        <v>412</v>
      </c>
    </row>
    <row r="166" spans="1:28" ht="15.75" customHeight="1" x14ac:dyDescent="0.25">
      <c r="A166" s="8" t="s">
        <v>401</v>
      </c>
      <c r="B166" s="8" t="s">
        <v>402</v>
      </c>
      <c r="C166" s="9" t="s">
        <v>403</v>
      </c>
      <c r="D166" s="8" t="s">
        <v>8</v>
      </c>
      <c r="E166" s="8" t="s">
        <v>264</v>
      </c>
      <c r="F166" s="8">
        <v>1044</v>
      </c>
      <c r="G166" s="8" t="s">
        <v>404</v>
      </c>
      <c r="H166" s="8">
        <v>27045357</v>
      </c>
      <c r="I166" s="8" t="s">
        <v>839</v>
      </c>
      <c r="J166" s="8" t="s">
        <v>489</v>
      </c>
      <c r="K166" s="8" t="s">
        <v>423</v>
      </c>
      <c r="L166" s="8" t="s">
        <v>440</v>
      </c>
      <c r="M166" s="8" t="s">
        <v>268</v>
      </c>
      <c r="N166" s="8">
        <v>5</v>
      </c>
      <c r="O166" s="8" t="s">
        <v>568</v>
      </c>
      <c r="P166" s="8" t="s">
        <v>101</v>
      </c>
      <c r="Q166" s="10" t="s">
        <v>840</v>
      </c>
      <c r="R166" s="11">
        <v>154496814</v>
      </c>
      <c r="S166" s="11">
        <v>798300</v>
      </c>
      <c r="T166" s="11">
        <v>141761947</v>
      </c>
      <c r="U166" s="11">
        <v>174581400</v>
      </c>
      <c r="V166" s="12" t="s">
        <v>411</v>
      </c>
      <c r="W166" s="11">
        <v>0</v>
      </c>
      <c r="X166" s="11">
        <f>+R166*0.5%</f>
        <v>772484.07000000007</v>
      </c>
      <c r="Y166" s="11">
        <f>+X166</f>
        <v>772484.07000000007</v>
      </c>
      <c r="Z166" s="1">
        <f>+X166/R166</f>
        <v>5.0000000000000001E-3</v>
      </c>
      <c r="AA166" s="13"/>
      <c r="AB166" s="10" t="s">
        <v>412</v>
      </c>
    </row>
    <row r="167" spans="1:28" ht="15.75" customHeight="1" x14ac:dyDescent="0.25">
      <c r="A167" s="8" t="s">
        <v>401</v>
      </c>
      <c r="B167" s="8" t="s">
        <v>402</v>
      </c>
      <c r="C167" s="9" t="s">
        <v>403</v>
      </c>
      <c r="D167" s="8" t="s">
        <v>8</v>
      </c>
      <c r="E167" s="8" t="s">
        <v>272</v>
      </c>
      <c r="F167" s="8">
        <v>1038</v>
      </c>
      <c r="G167" s="8" t="s">
        <v>404</v>
      </c>
      <c r="H167" s="8">
        <v>27047973</v>
      </c>
      <c r="I167" s="8" t="s">
        <v>841</v>
      </c>
      <c r="J167" s="8" t="s">
        <v>414</v>
      </c>
      <c r="K167" s="8" t="s">
        <v>407</v>
      </c>
      <c r="L167" s="8" t="s">
        <v>408</v>
      </c>
      <c r="M167" s="8" t="s">
        <v>279</v>
      </c>
      <c r="N167" s="8">
        <v>12</v>
      </c>
      <c r="O167" s="8" t="s">
        <v>521</v>
      </c>
      <c r="P167" s="8" t="s">
        <v>79</v>
      </c>
      <c r="Q167" s="10" t="s">
        <v>842</v>
      </c>
      <c r="R167" s="11">
        <v>61724567</v>
      </c>
      <c r="S167" s="11">
        <v>1464000</v>
      </c>
      <c r="T167" s="11">
        <v>57385564</v>
      </c>
      <c r="U167" s="11">
        <v>78390200</v>
      </c>
      <c r="V167" s="12" t="s">
        <v>463</v>
      </c>
      <c r="W167" s="11">
        <v>70556647</v>
      </c>
      <c r="X167" s="11">
        <v>524659</v>
      </c>
      <c r="Y167" s="11">
        <v>0</v>
      </c>
      <c r="Z167" s="1">
        <f>+X167/R167</f>
        <v>8.5000029242813489E-3</v>
      </c>
      <c r="AA167" s="13"/>
      <c r="AB167" s="10" t="s">
        <v>412</v>
      </c>
    </row>
    <row r="168" spans="1:28" ht="15.75" customHeight="1" x14ac:dyDescent="0.25">
      <c r="A168" s="8" t="s">
        <v>401</v>
      </c>
      <c r="B168" s="8" t="s">
        <v>402</v>
      </c>
      <c r="C168" s="9" t="s">
        <v>403</v>
      </c>
      <c r="D168" s="8" t="s">
        <v>8</v>
      </c>
      <c r="E168" s="8" t="s">
        <v>272</v>
      </c>
      <c r="F168" s="8">
        <v>1038</v>
      </c>
      <c r="G168" s="8" t="s">
        <v>510</v>
      </c>
      <c r="H168" s="8">
        <v>27038187</v>
      </c>
      <c r="I168" s="8" t="s">
        <v>843</v>
      </c>
      <c r="J168" s="8" t="s">
        <v>587</v>
      </c>
      <c r="K168" s="8" t="s">
        <v>422</v>
      </c>
      <c r="L168" s="8" t="s">
        <v>489</v>
      </c>
      <c r="M168" s="8" t="s">
        <v>276</v>
      </c>
      <c r="N168" s="8">
        <v>12</v>
      </c>
      <c r="O168" s="8" t="s">
        <v>844</v>
      </c>
      <c r="P168" s="8" t="s">
        <v>21</v>
      </c>
      <c r="Q168" s="10" t="s">
        <v>845</v>
      </c>
      <c r="R168" s="11">
        <v>79929449</v>
      </c>
      <c r="S168" s="11">
        <v>1604000</v>
      </c>
      <c r="T168" s="11">
        <v>76873753</v>
      </c>
      <c r="U168" s="11">
        <v>101510400</v>
      </c>
      <c r="V168" s="12" t="s">
        <v>622</v>
      </c>
      <c r="W168" s="11">
        <v>0</v>
      </c>
      <c r="X168" s="11">
        <v>679400</v>
      </c>
      <c r="Y168" s="11">
        <f>+X168/2</f>
        <v>339700</v>
      </c>
      <c r="Z168" s="1">
        <f>+X168/R168</f>
        <v>8.4999960402579525E-3</v>
      </c>
      <c r="AA168" s="13"/>
      <c r="AB168" s="10" t="s">
        <v>518</v>
      </c>
    </row>
    <row r="169" spans="1:28" ht="15.75" customHeight="1" x14ac:dyDescent="0.25">
      <c r="A169" s="8" t="s">
        <v>401</v>
      </c>
      <c r="B169" s="8" t="s">
        <v>402</v>
      </c>
      <c r="C169" s="9" t="s">
        <v>403</v>
      </c>
      <c r="D169" s="8" t="s">
        <v>8</v>
      </c>
      <c r="E169" s="8" t="s">
        <v>272</v>
      </c>
      <c r="F169" s="8">
        <v>1038</v>
      </c>
      <c r="G169" s="8" t="s">
        <v>404</v>
      </c>
      <c r="H169" s="8">
        <v>27042226</v>
      </c>
      <c r="I169" s="8" t="s">
        <v>846</v>
      </c>
      <c r="J169" s="8" t="s">
        <v>490</v>
      </c>
      <c r="K169" s="8" t="s">
        <v>456</v>
      </c>
      <c r="L169" s="8" t="s">
        <v>439</v>
      </c>
      <c r="M169" s="8" t="s">
        <v>274</v>
      </c>
      <c r="N169" s="8">
        <v>12</v>
      </c>
      <c r="O169" s="8" t="s">
        <v>409</v>
      </c>
      <c r="P169" s="8" t="s">
        <v>21</v>
      </c>
      <c r="Q169" s="10" t="s">
        <v>847</v>
      </c>
      <c r="R169" s="11">
        <v>82366299</v>
      </c>
      <c r="S169" s="11">
        <v>1431000</v>
      </c>
      <c r="T169" s="11">
        <v>77595538</v>
      </c>
      <c r="U169" s="11">
        <v>104605200</v>
      </c>
      <c r="V169" s="12" t="s">
        <v>426</v>
      </c>
      <c r="W169" s="11">
        <v>0</v>
      </c>
      <c r="X169" s="11">
        <v>700114</v>
      </c>
      <c r="Y169" s="11">
        <f t="shared" ref="Y169:Y171" si="25">+X169</f>
        <v>700114</v>
      </c>
      <c r="Z169" s="1">
        <f>+X169/R169</f>
        <v>8.5000055665970867E-3</v>
      </c>
      <c r="AA169" s="13"/>
      <c r="AB169" s="10" t="s">
        <v>412</v>
      </c>
    </row>
    <row r="170" spans="1:28" ht="15.75" customHeight="1" x14ac:dyDescent="0.25">
      <c r="A170" s="8" t="s">
        <v>401</v>
      </c>
      <c r="B170" s="8" t="s">
        <v>402</v>
      </c>
      <c r="C170" s="9" t="s">
        <v>403</v>
      </c>
      <c r="D170" s="8" t="s">
        <v>8</v>
      </c>
      <c r="E170" s="8" t="s">
        <v>272</v>
      </c>
      <c r="F170" s="8">
        <v>1038</v>
      </c>
      <c r="G170" s="8" t="s">
        <v>404</v>
      </c>
      <c r="H170" s="8">
        <v>27022457</v>
      </c>
      <c r="I170" s="8" t="s">
        <v>848</v>
      </c>
      <c r="J170" s="8" t="s">
        <v>571</v>
      </c>
      <c r="K170" s="8" t="s">
        <v>457</v>
      </c>
      <c r="L170" s="8" t="s">
        <v>434</v>
      </c>
      <c r="M170" s="8" t="s">
        <v>275</v>
      </c>
      <c r="N170" s="8">
        <v>12</v>
      </c>
      <c r="O170" s="8" t="s">
        <v>409</v>
      </c>
      <c r="P170" s="8" t="s">
        <v>21</v>
      </c>
      <c r="Q170" s="10" t="s">
        <v>849</v>
      </c>
      <c r="R170" s="11">
        <v>83137953</v>
      </c>
      <c r="S170" s="11">
        <v>1431000</v>
      </c>
      <c r="T170" s="11">
        <v>77595538</v>
      </c>
      <c r="U170" s="11">
        <v>105585200</v>
      </c>
      <c r="V170" s="12" t="s">
        <v>463</v>
      </c>
      <c r="W170" s="11">
        <v>0</v>
      </c>
      <c r="X170" s="11">
        <v>706673</v>
      </c>
      <c r="Y170" s="11">
        <f t="shared" si="25"/>
        <v>706673</v>
      </c>
      <c r="Z170" s="1">
        <f>+X170/R170</f>
        <v>8.500004805266255E-3</v>
      </c>
      <c r="AA170" s="13"/>
      <c r="AB170" s="10" t="s">
        <v>412</v>
      </c>
    </row>
    <row r="171" spans="1:28" ht="15.75" customHeight="1" x14ac:dyDescent="0.25">
      <c r="A171" s="8" t="s">
        <v>401</v>
      </c>
      <c r="B171" s="8" t="s">
        <v>402</v>
      </c>
      <c r="C171" s="9" t="s">
        <v>403</v>
      </c>
      <c r="D171" s="8" t="s">
        <v>8</v>
      </c>
      <c r="E171" s="8" t="s">
        <v>272</v>
      </c>
      <c r="F171" s="8">
        <v>1038</v>
      </c>
      <c r="G171" s="8" t="s">
        <v>529</v>
      </c>
      <c r="H171" s="8">
        <v>27067648</v>
      </c>
      <c r="I171" s="8" t="s">
        <v>850</v>
      </c>
      <c r="J171" s="8" t="s">
        <v>414</v>
      </c>
      <c r="K171" s="8" t="s">
        <v>407</v>
      </c>
      <c r="L171" s="8" t="s">
        <v>415</v>
      </c>
      <c r="M171" s="8" t="s">
        <v>273</v>
      </c>
      <c r="N171" s="8">
        <v>12</v>
      </c>
      <c r="O171" s="8" t="s">
        <v>409</v>
      </c>
      <c r="P171" s="8" t="s">
        <v>21</v>
      </c>
      <c r="Q171" s="10" t="s">
        <v>851</v>
      </c>
      <c r="R171" s="11">
        <v>82366299</v>
      </c>
      <c r="S171" s="11">
        <v>1431000</v>
      </c>
      <c r="T171" s="11">
        <v>76873753</v>
      </c>
      <c r="U171" s="11">
        <v>104605200</v>
      </c>
      <c r="V171" s="12" t="s">
        <v>463</v>
      </c>
      <c r="W171" s="11">
        <v>0</v>
      </c>
      <c r="X171" s="11">
        <v>700114</v>
      </c>
      <c r="Y171" s="11">
        <f t="shared" si="25"/>
        <v>700114</v>
      </c>
      <c r="Z171" s="1">
        <f>+X171/R171</f>
        <v>8.5000055665970867E-3</v>
      </c>
      <c r="AA171" s="13"/>
      <c r="AB171" s="10" t="s">
        <v>412</v>
      </c>
    </row>
    <row r="172" spans="1:28" ht="15.75" customHeight="1" x14ac:dyDescent="0.25">
      <c r="A172" s="8" t="s">
        <v>401</v>
      </c>
      <c r="B172" s="8" t="s">
        <v>402</v>
      </c>
      <c r="C172" s="9" t="s">
        <v>403</v>
      </c>
      <c r="D172" s="8" t="s">
        <v>8</v>
      </c>
      <c r="E172" s="8" t="s">
        <v>272</v>
      </c>
      <c r="F172" s="8">
        <v>1038</v>
      </c>
      <c r="G172" s="8" t="s">
        <v>404</v>
      </c>
      <c r="H172" s="8">
        <v>27079465</v>
      </c>
      <c r="I172" s="8" t="s">
        <v>852</v>
      </c>
      <c r="J172" s="8" t="s">
        <v>415</v>
      </c>
      <c r="K172" s="8" t="s">
        <v>407</v>
      </c>
      <c r="L172" s="8" t="s">
        <v>408</v>
      </c>
      <c r="M172" s="8" t="s">
        <v>278</v>
      </c>
      <c r="N172" s="8">
        <v>12</v>
      </c>
      <c r="O172" s="8" t="s">
        <v>466</v>
      </c>
      <c r="P172" s="8" t="s">
        <v>51</v>
      </c>
      <c r="Q172" s="10" t="s">
        <v>853</v>
      </c>
      <c r="R172" s="11">
        <v>62496220</v>
      </c>
      <c r="S172" s="11">
        <v>1431000</v>
      </c>
      <c r="T172" s="11">
        <v>59550918</v>
      </c>
      <c r="U172" s="11">
        <v>79370199</v>
      </c>
      <c r="V172" s="12" t="s">
        <v>471</v>
      </c>
      <c r="W172" s="11">
        <v>42727996</v>
      </c>
      <c r="X172" s="11">
        <v>531218</v>
      </c>
      <c r="Y172" s="11">
        <v>0</v>
      </c>
      <c r="Z172" s="1">
        <f>+X172/R172</f>
        <v>8.5000020801258066E-3</v>
      </c>
      <c r="AA172" s="13"/>
      <c r="AB172" s="10" t="s">
        <v>412</v>
      </c>
    </row>
    <row r="173" spans="1:28" ht="15.75" customHeight="1" x14ac:dyDescent="0.25">
      <c r="A173" s="8" t="s">
        <v>401</v>
      </c>
      <c r="B173" s="8" t="s">
        <v>402</v>
      </c>
      <c r="C173" s="9" t="s">
        <v>403</v>
      </c>
      <c r="D173" s="8" t="s">
        <v>8</v>
      </c>
      <c r="E173" s="8" t="s">
        <v>272</v>
      </c>
      <c r="F173" s="8">
        <v>1038</v>
      </c>
      <c r="G173" s="8" t="s">
        <v>404</v>
      </c>
      <c r="H173" s="8">
        <v>27071681</v>
      </c>
      <c r="I173" s="8" t="s">
        <v>854</v>
      </c>
      <c r="J173" s="8" t="s">
        <v>414</v>
      </c>
      <c r="K173" s="8" t="s">
        <v>407</v>
      </c>
      <c r="L173" s="8" t="s">
        <v>415</v>
      </c>
      <c r="M173" s="8" t="s">
        <v>277</v>
      </c>
      <c r="N173" s="8">
        <v>12</v>
      </c>
      <c r="O173" s="8" t="s">
        <v>466</v>
      </c>
      <c r="P173" s="8" t="s">
        <v>51</v>
      </c>
      <c r="Q173" s="10" t="s">
        <v>855</v>
      </c>
      <c r="R173" s="11">
        <v>61858504</v>
      </c>
      <c r="S173" s="11">
        <v>1464000</v>
      </c>
      <c r="T173" s="11">
        <v>58107349</v>
      </c>
      <c r="U173" s="11">
        <v>78560300</v>
      </c>
      <c r="V173" s="12" t="s">
        <v>426</v>
      </c>
      <c r="W173" s="11">
        <v>1380947</v>
      </c>
      <c r="X173" s="11">
        <v>525797</v>
      </c>
      <c r="Y173" s="11">
        <v>0</v>
      </c>
      <c r="Z173" s="1">
        <f>+X173/R173</f>
        <v>8.4999954088770067E-3</v>
      </c>
      <c r="AA173" s="13"/>
      <c r="AB173" s="10" t="s">
        <v>412</v>
      </c>
    </row>
    <row r="174" spans="1:28" ht="15.75" customHeight="1" x14ac:dyDescent="0.25">
      <c r="A174" s="8" t="s">
        <v>401</v>
      </c>
      <c r="B174" s="8" t="s">
        <v>402</v>
      </c>
      <c r="C174" s="9" t="s">
        <v>403</v>
      </c>
      <c r="D174" s="8" t="s">
        <v>8</v>
      </c>
      <c r="E174" s="8" t="s">
        <v>272</v>
      </c>
      <c r="F174" s="8">
        <v>1038</v>
      </c>
      <c r="G174" s="8" t="s">
        <v>404</v>
      </c>
      <c r="H174" s="8">
        <v>27075475</v>
      </c>
      <c r="I174" s="8" t="s">
        <v>856</v>
      </c>
      <c r="J174" s="8" t="s">
        <v>414</v>
      </c>
      <c r="K174" s="8" t="s">
        <v>407</v>
      </c>
      <c r="L174" s="8" t="s">
        <v>415</v>
      </c>
      <c r="M174" s="8" t="s">
        <v>281</v>
      </c>
      <c r="N174" s="8">
        <v>12</v>
      </c>
      <c r="O174" s="8" t="s">
        <v>429</v>
      </c>
      <c r="P174" s="8" t="s">
        <v>27</v>
      </c>
      <c r="Q174" s="10" t="s">
        <v>857</v>
      </c>
      <c r="R174" s="11">
        <v>45661417</v>
      </c>
      <c r="S174" s="11">
        <v>695700</v>
      </c>
      <c r="T174" s="11">
        <v>41856299</v>
      </c>
      <c r="U174" s="11">
        <v>57990000</v>
      </c>
      <c r="V174" s="12" t="s">
        <v>411</v>
      </c>
      <c r="W174" s="11">
        <v>0</v>
      </c>
      <c r="X174" s="11">
        <v>388122</v>
      </c>
      <c r="Y174" s="11">
        <f>+X174</f>
        <v>388122</v>
      </c>
      <c r="Z174" s="1">
        <f>+X174/R174</f>
        <v>8.4999990254354136E-3</v>
      </c>
      <c r="AA174" s="13"/>
      <c r="AB174" s="10" t="s">
        <v>412</v>
      </c>
    </row>
    <row r="175" spans="1:28" ht="15.75" customHeight="1" x14ac:dyDescent="0.25">
      <c r="A175" s="8" t="s">
        <v>401</v>
      </c>
      <c r="B175" s="8" t="s">
        <v>402</v>
      </c>
      <c r="C175" s="9" t="s">
        <v>403</v>
      </c>
      <c r="D175" s="8" t="s">
        <v>8</v>
      </c>
      <c r="E175" s="8" t="s">
        <v>272</v>
      </c>
      <c r="F175" s="8">
        <v>1038</v>
      </c>
      <c r="G175" s="8" t="s">
        <v>404</v>
      </c>
      <c r="H175" s="8">
        <v>27061363</v>
      </c>
      <c r="I175" s="8" t="s">
        <v>858</v>
      </c>
      <c r="J175" s="8" t="s">
        <v>457</v>
      </c>
      <c r="K175" s="8" t="s">
        <v>407</v>
      </c>
      <c r="L175" s="8" t="s">
        <v>408</v>
      </c>
      <c r="M175" s="8" t="s">
        <v>282</v>
      </c>
      <c r="N175" s="8">
        <v>12</v>
      </c>
      <c r="O175" s="8" t="s">
        <v>429</v>
      </c>
      <c r="P175" s="8" t="s">
        <v>27</v>
      </c>
      <c r="Q175" s="10" t="s">
        <v>859</v>
      </c>
      <c r="R175" s="11">
        <v>45661417</v>
      </c>
      <c r="S175" s="11">
        <v>695700</v>
      </c>
      <c r="T175" s="11">
        <v>41856299</v>
      </c>
      <c r="U175" s="11">
        <v>57990000</v>
      </c>
      <c r="V175" s="12" t="s">
        <v>411</v>
      </c>
      <c r="W175" s="11">
        <v>57990000</v>
      </c>
      <c r="X175" s="11">
        <v>388122</v>
      </c>
      <c r="Y175" s="11">
        <v>0</v>
      </c>
      <c r="Z175" s="1">
        <f>+X175/R175</f>
        <v>8.4999990254354136E-3</v>
      </c>
      <c r="AA175" s="13"/>
      <c r="AB175" s="10" t="s">
        <v>412</v>
      </c>
    </row>
    <row r="176" spans="1:28" ht="15.75" customHeight="1" x14ac:dyDescent="0.25">
      <c r="A176" s="8" t="s">
        <v>401</v>
      </c>
      <c r="B176" s="8" t="s">
        <v>402</v>
      </c>
      <c r="C176" s="9" t="s">
        <v>403</v>
      </c>
      <c r="D176" s="8" t="s">
        <v>8</v>
      </c>
      <c r="E176" s="8" t="s">
        <v>272</v>
      </c>
      <c r="F176" s="8">
        <v>1038</v>
      </c>
      <c r="G176" s="8" t="s">
        <v>510</v>
      </c>
      <c r="H176" s="8">
        <v>26977802</v>
      </c>
      <c r="I176" s="8" t="s">
        <v>860</v>
      </c>
      <c r="J176" s="8" t="s">
        <v>456</v>
      </c>
      <c r="K176" s="8" t="s">
        <v>407</v>
      </c>
      <c r="L176" s="8" t="s">
        <v>415</v>
      </c>
      <c r="M176" s="8" t="s">
        <v>280</v>
      </c>
      <c r="N176" s="8">
        <v>12</v>
      </c>
      <c r="O176" s="8" t="s">
        <v>429</v>
      </c>
      <c r="P176" s="8" t="s">
        <v>27</v>
      </c>
      <c r="Q176" s="10" t="s">
        <v>861</v>
      </c>
      <c r="R176" s="11">
        <v>45661417</v>
      </c>
      <c r="S176" s="11">
        <v>695700</v>
      </c>
      <c r="T176" s="11">
        <v>41856299</v>
      </c>
      <c r="U176" s="11">
        <v>57990000</v>
      </c>
      <c r="V176" s="12" t="s">
        <v>411</v>
      </c>
      <c r="W176" s="11">
        <v>57990000</v>
      </c>
      <c r="X176" s="11">
        <v>388122</v>
      </c>
      <c r="Y176" s="11">
        <v>0</v>
      </c>
      <c r="Z176" s="1">
        <f>+X176/R176</f>
        <v>8.4999990254354136E-3</v>
      </c>
      <c r="AA176" s="13"/>
      <c r="AB176" s="10" t="s">
        <v>412</v>
      </c>
    </row>
    <row r="177" spans="1:28" ht="15.75" customHeight="1" x14ac:dyDescent="0.25">
      <c r="A177" s="8" t="s">
        <v>401</v>
      </c>
      <c r="B177" s="8" t="s">
        <v>402</v>
      </c>
      <c r="C177" s="9" t="s">
        <v>403</v>
      </c>
      <c r="D177" s="8" t="s">
        <v>8</v>
      </c>
      <c r="E177" s="8" t="s">
        <v>272</v>
      </c>
      <c r="F177" s="8">
        <v>1038</v>
      </c>
      <c r="G177" s="8" t="s">
        <v>529</v>
      </c>
      <c r="H177" s="8">
        <v>27050482</v>
      </c>
      <c r="I177" s="8" t="s">
        <v>862</v>
      </c>
      <c r="J177" s="8" t="s">
        <v>452</v>
      </c>
      <c r="K177" s="8" t="s">
        <v>407</v>
      </c>
      <c r="L177" s="8" t="s">
        <v>408</v>
      </c>
      <c r="M177" s="8" t="s">
        <v>284</v>
      </c>
      <c r="N177" s="8">
        <v>12</v>
      </c>
      <c r="O177" s="8" t="s">
        <v>461</v>
      </c>
      <c r="P177" s="8" t="s">
        <v>45</v>
      </c>
      <c r="Q177" s="10" t="s">
        <v>863</v>
      </c>
      <c r="R177" s="11">
        <v>71420168</v>
      </c>
      <c r="S177" s="11">
        <v>735600</v>
      </c>
      <c r="T177" s="11">
        <v>64953412</v>
      </c>
      <c r="U177" s="11">
        <v>84990000</v>
      </c>
      <c r="V177" s="12" t="s">
        <v>417</v>
      </c>
      <c r="W177" s="11">
        <v>0</v>
      </c>
      <c r="X177" s="11">
        <v>607071</v>
      </c>
      <c r="Y177" s="11">
        <f>+X177</f>
        <v>607071</v>
      </c>
      <c r="Z177" s="1">
        <f>+X177/R177</f>
        <v>8.4999940072949705E-3</v>
      </c>
      <c r="AA177" s="13"/>
      <c r="AB177" s="10" t="s">
        <v>412</v>
      </c>
    </row>
    <row r="178" spans="1:28" ht="15.75" customHeight="1" x14ac:dyDescent="0.25">
      <c r="A178" s="8" t="s">
        <v>401</v>
      </c>
      <c r="B178" s="8" t="s">
        <v>402</v>
      </c>
      <c r="C178" s="9" t="s">
        <v>403</v>
      </c>
      <c r="D178" s="8" t="s">
        <v>8</v>
      </c>
      <c r="E178" s="8" t="s">
        <v>272</v>
      </c>
      <c r="F178" s="8">
        <v>1038</v>
      </c>
      <c r="G178" s="8" t="s">
        <v>529</v>
      </c>
      <c r="H178" s="8">
        <v>27025984</v>
      </c>
      <c r="I178" s="8" t="s">
        <v>864</v>
      </c>
      <c r="J178" s="8" t="s">
        <v>414</v>
      </c>
      <c r="K178" s="8" t="s">
        <v>407</v>
      </c>
      <c r="L178" s="8" t="s">
        <v>415</v>
      </c>
      <c r="M178" s="8" t="s">
        <v>283</v>
      </c>
      <c r="N178" s="8">
        <v>12</v>
      </c>
      <c r="O178" s="8" t="s">
        <v>461</v>
      </c>
      <c r="P178" s="8" t="s">
        <v>45</v>
      </c>
      <c r="Q178" s="10" t="s">
        <v>865</v>
      </c>
      <c r="R178" s="11">
        <v>70149685</v>
      </c>
      <c r="S178" s="11">
        <v>781200</v>
      </c>
      <c r="T178" s="11">
        <v>64953412</v>
      </c>
      <c r="U178" s="11">
        <v>89090100</v>
      </c>
      <c r="V178" s="12" t="s">
        <v>463</v>
      </c>
      <c r="W178" s="11">
        <v>0</v>
      </c>
      <c r="X178" s="11">
        <v>596272</v>
      </c>
      <c r="Y178" s="11">
        <f>+X178</f>
        <v>596272</v>
      </c>
      <c r="Z178" s="1">
        <f>+X178/R178</f>
        <v>8.4999954026878377E-3</v>
      </c>
      <c r="AA178" s="13"/>
      <c r="AB178" s="10" t="s">
        <v>412</v>
      </c>
    </row>
    <row r="179" spans="1:28" ht="15.75" customHeight="1" x14ac:dyDescent="0.25">
      <c r="A179" s="8" t="s">
        <v>401</v>
      </c>
      <c r="B179" s="8" t="s">
        <v>402</v>
      </c>
      <c r="C179" s="9" t="s">
        <v>403</v>
      </c>
      <c r="D179" s="8" t="s">
        <v>8</v>
      </c>
      <c r="E179" s="8" t="s">
        <v>286</v>
      </c>
      <c r="F179" s="8">
        <v>903</v>
      </c>
      <c r="G179" s="8" t="s">
        <v>505</v>
      </c>
      <c r="H179" s="8">
        <v>26974397</v>
      </c>
      <c r="I179" s="8" t="s">
        <v>866</v>
      </c>
      <c r="J179" s="8" t="s">
        <v>631</v>
      </c>
      <c r="K179" s="8" t="s">
        <v>457</v>
      </c>
      <c r="L179" s="8" t="s">
        <v>440</v>
      </c>
      <c r="M179" s="8" t="s">
        <v>292</v>
      </c>
      <c r="N179" s="8">
        <v>11</v>
      </c>
      <c r="O179" s="8" t="s">
        <v>521</v>
      </c>
      <c r="P179" s="8" t="s">
        <v>79</v>
      </c>
      <c r="Q179" s="10" t="s">
        <v>867</v>
      </c>
      <c r="R179" s="11">
        <v>63771654</v>
      </c>
      <c r="S179" s="11">
        <v>1431000</v>
      </c>
      <c r="T179" s="11">
        <v>58829134</v>
      </c>
      <c r="U179" s="11">
        <v>80990001</v>
      </c>
      <c r="V179" s="12" t="s">
        <v>411</v>
      </c>
      <c r="W179" s="11">
        <v>0</v>
      </c>
      <c r="X179" s="11">
        <v>542059</v>
      </c>
      <c r="Y179" s="11">
        <f>+X179</f>
        <v>542059</v>
      </c>
      <c r="Z179" s="1">
        <f>+X179/R179</f>
        <v>8.4999990748240595E-3</v>
      </c>
      <c r="AA179" s="13"/>
      <c r="AB179" s="10" t="s">
        <v>412</v>
      </c>
    </row>
    <row r="180" spans="1:28" ht="15.75" customHeight="1" x14ac:dyDescent="0.25">
      <c r="A180" s="8" t="s">
        <v>401</v>
      </c>
      <c r="B180" s="8" t="s">
        <v>402</v>
      </c>
      <c r="C180" s="9" t="s">
        <v>403</v>
      </c>
      <c r="D180" s="8" t="s">
        <v>8</v>
      </c>
      <c r="E180" s="8" t="s">
        <v>286</v>
      </c>
      <c r="F180" s="8">
        <v>903</v>
      </c>
      <c r="G180" s="8" t="s">
        <v>464</v>
      </c>
      <c r="H180" s="8">
        <v>27080525</v>
      </c>
      <c r="I180" s="8" t="s">
        <v>868</v>
      </c>
      <c r="J180" s="8" t="s">
        <v>423</v>
      </c>
      <c r="K180" s="8" t="s">
        <v>407</v>
      </c>
      <c r="L180" s="8" t="s">
        <v>408</v>
      </c>
      <c r="M180" s="8" t="s">
        <v>287</v>
      </c>
      <c r="N180" s="8">
        <v>11</v>
      </c>
      <c r="O180" s="8" t="s">
        <v>409</v>
      </c>
      <c r="P180" s="8" t="s">
        <v>21</v>
      </c>
      <c r="Q180" s="10" t="s">
        <v>869</v>
      </c>
      <c r="R180" s="11">
        <v>82366299</v>
      </c>
      <c r="S180" s="11">
        <v>1464000</v>
      </c>
      <c r="T180" s="11">
        <v>76151969</v>
      </c>
      <c r="U180" s="11">
        <v>104605200</v>
      </c>
      <c r="V180" s="12" t="s">
        <v>411</v>
      </c>
      <c r="W180" s="11">
        <v>74209607</v>
      </c>
      <c r="X180" s="11">
        <v>700114</v>
      </c>
      <c r="Y180" s="11">
        <v>0</v>
      </c>
      <c r="Z180" s="1">
        <f>+X180/R180</f>
        <v>8.5000055665970867E-3</v>
      </c>
      <c r="AA180" s="13"/>
      <c r="AB180" s="10" t="s">
        <v>412</v>
      </c>
    </row>
    <row r="181" spans="1:28" ht="15.75" customHeight="1" x14ac:dyDescent="0.25">
      <c r="A181" s="8" t="s">
        <v>401</v>
      </c>
      <c r="B181" s="8" t="s">
        <v>402</v>
      </c>
      <c r="C181" s="9" t="s">
        <v>403</v>
      </c>
      <c r="D181" s="8" t="s">
        <v>8</v>
      </c>
      <c r="E181" s="8" t="s">
        <v>286</v>
      </c>
      <c r="F181" s="8">
        <v>903</v>
      </c>
      <c r="G181" s="8" t="s">
        <v>496</v>
      </c>
      <c r="H181" s="8">
        <v>27081870</v>
      </c>
      <c r="I181" s="8" t="s">
        <v>870</v>
      </c>
      <c r="J181" s="8" t="s">
        <v>423</v>
      </c>
      <c r="K181" s="8" t="s">
        <v>407</v>
      </c>
      <c r="L181" s="8" t="s">
        <v>408</v>
      </c>
      <c r="M181" s="8" t="s">
        <v>288</v>
      </c>
      <c r="N181" s="8">
        <v>11</v>
      </c>
      <c r="O181" s="8" t="s">
        <v>469</v>
      </c>
      <c r="P181" s="8" t="s">
        <v>49</v>
      </c>
      <c r="Q181" s="10" t="s">
        <v>871</v>
      </c>
      <c r="R181" s="11">
        <v>68476535</v>
      </c>
      <c r="S181" s="11">
        <v>1774000</v>
      </c>
      <c r="T181" s="11">
        <v>64603412</v>
      </c>
      <c r="U181" s="11">
        <v>86965199</v>
      </c>
      <c r="V181" s="12" t="s">
        <v>426</v>
      </c>
      <c r="W181" s="11">
        <v>0</v>
      </c>
      <c r="X181" s="11">
        <v>582051</v>
      </c>
      <c r="Y181" s="11">
        <f t="shared" ref="Y181:Y184" si="26">+X181</f>
        <v>582051</v>
      </c>
      <c r="Z181" s="1">
        <f>+X181/R181</f>
        <v>8.5000066081030532E-3</v>
      </c>
      <c r="AA181" s="13"/>
      <c r="AB181" s="10" t="s">
        <v>412</v>
      </c>
    </row>
    <row r="182" spans="1:28" ht="15.75" customHeight="1" x14ac:dyDescent="0.25">
      <c r="A182" s="8" t="s">
        <v>401</v>
      </c>
      <c r="B182" s="8" t="s">
        <v>402</v>
      </c>
      <c r="C182" s="9" t="s">
        <v>403</v>
      </c>
      <c r="D182" s="8" t="s">
        <v>8</v>
      </c>
      <c r="E182" s="8" t="s">
        <v>286</v>
      </c>
      <c r="F182" s="8">
        <v>903</v>
      </c>
      <c r="G182" s="8" t="s">
        <v>404</v>
      </c>
      <c r="H182" s="8">
        <v>27049127</v>
      </c>
      <c r="I182" s="8" t="s">
        <v>872</v>
      </c>
      <c r="J182" s="8" t="s">
        <v>489</v>
      </c>
      <c r="K182" s="8" t="s">
        <v>415</v>
      </c>
      <c r="L182" s="8" t="s">
        <v>456</v>
      </c>
      <c r="M182" s="8" t="s">
        <v>291</v>
      </c>
      <c r="N182" s="8">
        <v>11</v>
      </c>
      <c r="O182" s="8" t="s">
        <v>499</v>
      </c>
      <c r="P182" s="8" t="s">
        <v>66</v>
      </c>
      <c r="Q182" s="10" t="s">
        <v>873</v>
      </c>
      <c r="R182" s="11">
        <v>73878110</v>
      </c>
      <c r="S182" s="11">
        <v>1431000</v>
      </c>
      <c r="T182" s="11">
        <v>69655906</v>
      </c>
      <c r="U182" s="11">
        <v>93825200</v>
      </c>
      <c r="V182" s="12" t="s">
        <v>426</v>
      </c>
      <c r="W182" s="11">
        <v>0</v>
      </c>
      <c r="X182" s="11">
        <v>627964</v>
      </c>
      <c r="Y182" s="11">
        <f t="shared" si="26"/>
        <v>627964</v>
      </c>
      <c r="Z182" s="1">
        <f>+X182/R182</f>
        <v>8.5000008798275968E-3</v>
      </c>
      <c r="AA182" s="13"/>
      <c r="AB182" s="10" t="s">
        <v>412</v>
      </c>
    </row>
    <row r="183" spans="1:28" ht="15.75" customHeight="1" x14ac:dyDescent="0.25">
      <c r="A183" s="8" t="s">
        <v>401</v>
      </c>
      <c r="B183" s="8" t="s">
        <v>402</v>
      </c>
      <c r="C183" s="9" t="s">
        <v>403</v>
      </c>
      <c r="D183" s="8" t="s">
        <v>8</v>
      </c>
      <c r="E183" s="8" t="s">
        <v>286</v>
      </c>
      <c r="F183" s="8">
        <v>903</v>
      </c>
      <c r="G183" s="8" t="s">
        <v>464</v>
      </c>
      <c r="H183" s="8">
        <v>27058700</v>
      </c>
      <c r="I183" s="8" t="s">
        <v>874</v>
      </c>
      <c r="J183" s="8" t="s">
        <v>440</v>
      </c>
      <c r="K183" s="8" t="s">
        <v>407</v>
      </c>
      <c r="L183" s="8" t="s">
        <v>415</v>
      </c>
      <c r="M183" s="8" t="s">
        <v>290</v>
      </c>
      <c r="N183" s="8">
        <v>11</v>
      </c>
      <c r="O183" s="8" t="s">
        <v>499</v>
      </c>
      <c r="P183" s="8" t="s">
        <v>66</v>
      </c>
      <c r="Q183" s="10" t="s">
        <v>875</v>
      </c>
      <c r="R183" s="11">
        <v>73878110</v>
      </c>
      <c r="S183" s="11">
        <v>1431000</v>
      </c>
      <c r="T183" s="11">
        <v>69655906</v>
      </c>
      <c r="U183" s="11">
        <v>93825200</v>
      </c>
      <c r="V183" s="12" t="s">
        <v>426</v>
      </c>
      <c r="W183" s="11">
        <v>0</v>
      </c>
      <c r="X183" s="11">
        <v>627964</v>
      </c>
      <c r="Y183" s="11">
        <f t="shared" si="26"/>
        <v>627964</v>
      </c>
      <c r="Z183" s="1">
        <f>+X183/R183</f>
        <v>8.5000008798275968E-3</v>
      </c>
      <c r="AA183" s="13"/>
      <c r="AB183" s="10" t="s">
        <v>412</v>
      </c>
    </row>
    <row r="184" spans="1:28" ht="15.75" customHeight="1" x14ac:dyDescent="0.25">
      <c r="A184" s="8" t="s">
        <v>401</v>
      </c>
      <c r="B184" s="8" t="s">
        <v>402</v>
      </c>
      <c r="C184" s="9" t="s">
        <v>403</v>
      </c>
      <c r="D184" s="8" t="s">
        <v>8</v>
      </c>
      <c r="E184" s="8" t="s">
        <v>286</v>
      </c>
      <c r="F184" s="8">
        <v>903</v>
      </c>
      <c r="G184" s="8" t="s">
        <v>404</v>
      </c>
      <c r="H184" s="8">
        <v>27064329</v>
      </c>
      <c r="I184" s="8" t="s">
        <v>876</v>
      </c>
      <c r="J184" s="8" t="s">
        <v>414</v>
      </c>
      <c r="K184" s="8" t="s">
        <v>407</v>
      </c>
      <c r="L184" s="8" t="s">
        <v>408</v>
      </c>
      <c r="M184" s="8" t="s">
        <v>289</v>
      </c>
      <c r="N184" s="8">
        <v>11</v>
      </c>
      <c r="O184" s="8" t="s">
        <v>469</v>
      </c>
      <c r="P184" s="8" t="s">
        <v>49</v>
      </c>
      <c r="Q184" s="10" t="s">
        <v>877</v>
      </c>
      <c r="R184" s="11">
        <v>68476535</v>
      </c>
      <c r="S184" s="11">
        <v>1464000</v>
      </c>
      <c r="T184" s="11">
        <v>63159842</v>
      </c>
      <c r="U184" s="11">
        <v>86965199</v>
      </c>
      <c r="V184" s="12" t="s">
        <v>411</v>
      </c>
      <c r="W184" s="11">
        <v>0</v>
      </c>
      <c r="X184" s="11">
        <v>582051</v>
      </c>
      <c r="Y184" s="11">
        <f t="shared" si="26"/>
        <v>582051</v>
      </c>
      <c r="Z184" s="1">
        <f>+X184/R184</f>
        <v>8.5000066081030532E-3</v>
      </c>
      <c r="AA184" s="13"/>
      <c r="AB184" s="10" t="s">
        <v>412</v>
      </c>
    </row>
    <row r="185" spans="1:28" ht="15.75" customHeight="1" x14ac:dyDescent="0.25">
      <c r="A185" s="8" t="s">
        <v>401</v>
      </c>
      <c r="B185" s="8" t="s">
        <v>402</v>
      </c>
      <c r="C185" s="9" t="s">
        <v>403</v>
      </c>
      <c r="D185" s="8" t="s">
        <v>8</v>
      </c>
      <c r="E185" s="8" t="s">
        <v>286</v>
      </c>
      <c r="F185" s="8">
        <v>903</v>
      </c>
      <c r="G185" s="8" t="s">
        <v>404</v>
      </c>
      <c r="H185" s="8">
        <v>26979801</v>
      </c>
      <c r="I185" s="8" t="s">
        <v>878</v>
      </c>
      <c r="J185" s="8" t="s">
        <v>414</v>
      </c>
      <c r="K185" s="8" t="s">
        <v>407</v>
      </c>
      <c r="L185" s="8" t="s">
        <v>408</v>
      </c>
      <c r="M185" s="8" t="s">
        <v>293</v>
      </c>
      <c r="N185" s="8">
        <v>11</v>
      </c>
      <c r="O185" s="8" t="s">
        <v>429</v>
      </c>
      <c r="P185" s="8" t="s">
        <v>27</v>
      </c>
      <c r="Q185" s="10" t="s">
        <v>879</v>
      </c>
      <c r="R185" s="11">
        <v>45661417</v>
      </c>
      <c r="S185" s="11">
        <v>695700</v>
      </c>
      <c r="T185" s="11">
        <v>41856299</v>
      </c>
      <c r="U185" s="11">
        <v>57990000</v>
      </c>
      <c r="V185" s="12" t="s">
        <v>411</v>
      </c>
      <c r="W185" s="11">
        <v>0</v>
      </c>
      <c r="X185" s="11">
        <v>388122</v>
      </c>
      <c r="Y185" s="11">
        <f>X185</f>
        <v>388122</v>
      </c>
      <c r="Z185" s="1">
        <f>+X185/R185</f>
        <v>8.4999990254354136E-3</v>
      </c>
      <c r="AA185" s="13"/>
      <c r="AB185" s="10" t="s">
        <v>412</v>
      </c>
    </row>
    <row r="186" spans="1:28" ht="15.75" customHeight="1" x14ac:dyDescent="0.25">
      <c r="A186" s="8" t="s">
        <v>401</v>
      </c>
      <c r="B186" s="8" t="s">
        <v>402</v>
      </c>
      <c r="C186" s="9" t="s">
        <v>403</v>
      </c>
      <c r="D186" s="8" t="s">
        <v>8</v>
      </c>
      <c r="E186" s="8" t="s">
        <v>286</v>
      </c>
      <c r="F186" s="8">
        <v>903</v>
      </c>
      <c r="G186" s="8" t="s">
        <v>404</v>
      </c>
      <c r="H186" s="8">
        <v>27046560</v>
      </c>
      <c r="I186" s="8" t="s">
        <v>880</v>
      </c>
      <c r="J186" s="8" t="s">
        <v>456</v>
      </c>
      <c r="K186" s="8" t="s">
        <v>407</v>
      </c>
      <c r="L186" s="8" t="s">
        <v>408</v>
      </c>
      <c r="M186" s="8" t="s">
        <v>294</v>
      </c>
      <c r="N186" s="8">
        <v>11</v>
      </c>
      <c r="O186" s="8" t="s">
        <v>429</v>
      </c>
      <c r="P186" s="8" t="s">
        <v>27</v>
      </c>
      <c r="Q186" s="10" t="s">
        <v>881</v>
      </c>
      <c r="R186" s="11">
        <v>45661417</v>
      </c>
      <c r="S186" s="11">
        <v>695700</v>
      </c>
      <c r="T186" s="11">
        <v>41856299</v>
      </c>
      <c r="U186" s="11">
        <v>57990000</v>
      </c>
      <c r="V186" s="12" t="s">
        <v>411</v>
      </c>
      <c r="W186" s="11">
        <v>7990000</v>
      </c>
      <c r="X186" s="11">
        <v>388122</v>
      </c>
      <c r="Y186" s="11">
        <v>0</v>
      </c>
      <c r="Z186" s="1">
        <f>+X186/R186</f>
        <v>8.4999990254354136E-3</v>
      </c>
      <c r="AA186" s="13"/>
      <c r="AB186" s="10" t="s">
        <v>412</v>
      </c>
    </row>
    <row r="187" spans="1:28" ht="15.75" customHeight="1" x14ac:dyDescent="0.25">
      <c r="A187" s="8" t="s">
        <v>401</v>
      </c>
      <c r="B187" s="8" t="s">
        <v>402</v>
      </c>
      <c r="C187" s="9" t="s">
        <v>403</v>
      </c>
      <c r="D187" s="8" t="s">
        <v>8</v>
      </c>
      <c r="E187" s="8" t="s">
        <v>286</v>
      </c>
      <c r="F187" s="8">
        <v>903</v>
      </c>
      <c r="G187" s="8" t="s">
        <v>404</v>
      </c>
      <c r="H187" s="8">
        <v>27072257</v>
      </c>
      <c r="I187" s="8" t="s">
        <v>882</v>
      </c>
      <c r="J187" s="8" t="s">
        <v>456</v>
      </c>
      <c r="K187" s="8" t="s">
        <v>407</v>
      </c>
      <c r="L187" s="8" t="s">
        <v>408</v>
      </c>
      <c r="M187" s="8" t="s">
        <v>295</v>
      </c>
      <c r="N187" s="8">
        <v>11</v>
      </c>
      <c r="O187" s="8" t="s">
        <v>458</v>
      </c>
      <c r="P187" s="8" t="s">
        <v>43</v>
      </c>
      <c r="Q187" s="10" t="s">
        <v>883</v>
      </c>
      <c r="R187" s="11">
        <v>51763780</v>
      </c>
      <c r="S187" s="11">
        <v>695700</v>
      </c>
      <c r="T187" s="11">
        <v>46908793</v>
      </c>
      <c r="U187" s="11">
        <v>65740001</v>
      </c>
      <c r="V187" s="12" t="s">
        <v>417</v>
      </c>
      <c r="W187" s="11">
        <v>6849727</v>
      </c>
      <c r="X187" s="11">
        <v>439992</v>
      </c>
      <c r="Y187" s="11">
        <v>0</v>
      </c>
      <c r="Z187" s="1">
        <f>+X187/R187</f>
        <v>8.4999974885914438E-3</v>
      </c>
      <c r="AA187" s="13"/>
      <c r="AB187" s="10" t="s">
        <v>412</v>
      </c>
    </row>
    <row r="188" spans="1:28" ht="15.75" customHeight="1" x14ac:dyDescent="0.25">
      <c r="A188" s="8" t="s">
        <v>401</v>
      </c>
      <c r="B188" s="8" t="s">
        <v>402</v>
      </c>
      <c r="C188" s="9" t="s">
        <v>403</v>
      </c>
      <c r="D188" s="8" t="s">
        <v>8</v>
      </c>
      <c r="E188" s="8" t="s">
        <v>286</v>
      </c>
      <c r="F188" s="8">
        <v>903</v>
      </c>
      <c r="G188" s="8" t="s">
        <v>404</v>
      </c>
      <c r="H188" s="8">
        <v>27006162</v>
      </c>
      <c r="I188" s="8" t="s">
        <v>884</v>
      </c>
      <c r="J188" s="8" t="s">
        <v>456</v>
      </c>
      <c r="K188" s="8" t="s">
        <v>407</v>
      </c>
      <c r="L188" s="8" t="s">
        <v>408</v>
      </c>
      <c r="M188" s="8" t="s">
        <v>296</v>
      </c>
      <c r="N188" s="8">
        <v>11</v>
      </c>
      <c r="O188" s="8" t="s">
        <v>458</v>
      </c>
      <c r="P188" s="8" t="s">
        <v>43</v>
      </c>
      <c r="Q188" s="10" t="s">
        <v>885</v>
      </c>
      <c r="R188" s="11">
        <v>51763780</v>
      </c>
      <c r="S188" s="11">
        <v>695700</v>
      </c>
      <c r="T188" s="11">
        <v>46908793</v>
      </c>
      <c r="U188" s="11">
        <v>65740001</v>
      </c>
      <c r="V188" s="12" t="s">
        <v>417</v>
      </c>
      <c r="W188" s="11">
        <v>6404498</v>
      </c>
      <c r="X188" s="11">
        <v>439992</v>
      </c>
      <c r="Y188" s="11">
        <v>0</v>
      </c>
      <c r="Z188" s="1">
        <f>+X188/R188</f>
        <v>8.4999974885914438E-3</v>
      </c>
      <c r="AA188" s="13"/>
      <c r="AB188" s="10" t="s">
        <v>412</v>
      </c>
    </row>
    <row r="189" spans="1:28" ht="15.75" customHeight="1" x14ac:dyDescent="0.25">
      <c r="A189" s="8" t="s">
        <v>401</v>
      </c>
      <c r="B189" s="8" t="s">
        <v>402</v>
      </c>
      <c r="C189" s="9" t="s">
        <v>403</v>
      </c>
      <c r="D189" s="8" t="s">
        <v>8</v>
      </c>
      <c r="E189" s="8" t="s">
        <v>286</v>
      </c>
      <c r="F189" s="8">
        <v>903</v>
      </c>
      <c r="G189" s="8" t="s">
        <v>404</v>
      </c>
      <c r="H189" s="8">
        <v>27069966</v>
      </c>
      <c r="I189" s="8" t="s">
        <v>886</v>
      </c>
      <c r="J189" s="8" t="s">
        <v>428</v>
      </c>
      <c r="K189" s="8" t="s">
        <v>407</v>
      </c>
      <c r="L189" s="8" t="s">
        <v>415</v>
      </c>
      <c r="M189" s="8" t="s">
        <v>297</v>
      </c>
      <c r="N189" s="8">
        <v>11</v>
      </c>
      <c r="O189" s="8" t="s">
        <v>435</v>
      </c>
      <c r="P189" s="8" t="s">
        <v>32</v>
      </c>
      <c r="Q189" s="10" t="s">
        <v>887</v>
      </c>
      <c r="R189" s="11">
        <v>86506726</v>
      </c>
      <c r="S189" s="11">
        <v>781200</v>
      </c>
      <c r="T189" s="11">
        <v>85995047</v>
      </c>
      <c r="U189" s="11">
        <v>97752600</v>
      </c>
      <c r="V189" s="12" t="s">
        <v>437</v>
      </c>
      <c r="W189" s="11">
        <v>0</v>
      </c>
      <c r="X189" s="11">
        <v>735307</v>
      </c>
      <c r="Y189" s="11">
        <f>+X189</f>
        <v>735307</v>
      </c>
      <c r="Z189" s="1">
        <f>+X189/R189</f>
        <v>8.4999980232750919E-3</v>
      </c>
      <c r="AA189" s="13"/>
      <c r="AB189" s="10" t="s">
        <v>412</v>
      </c>
    </row>
    <row r="190" spans="1:28" ht="15.75" customHeight="1" x14ac:dyDescent="0.25">
      <c r="A190" s="8" t="s">
        <v>401</v>
      </c>
      <c r="B190" s="8" t="s">
        <v>402</v>
      </c>
      <c r="C190" s="9" t="s">
        <v>403</v>
      </c>
      <c r="D190" s="8" t="s">
        <v>8</v>
      </c>
      <c r="E190" s="8" t="s">
        <v>299</v>
      </c>
      <c r="F190" s="8">
        <v>1097</v>
      </c>
      <c r="G190" s="8" t="s">
        <v>623</v>
      </c>
      <c r="H190" s="8">
        <v>27080309</v>
      </c>
      <c r="I190" s="8" t="s">
        <v>888</v>
      </c>
      <c r="J190" s="8" t="s">
        <v>457</v>
      </c>
      <c r="K190" s="8" t="s">
        <v>407</v>
      </c>
      <c r="L190" s="8" t="s">
        <v>408</v>
      </c>
      <c r="M190" s="8" t="s">
        <v>300</v>
      </c>
      <c r="N190" s="8">
        <v>1</v>
      </c>
      <c r="O190" s="8" t="s">
        <v>568</v>
      </c>
      <c r="P190" s="8" t="s">
        <v>101</v>
      </c>
      <c r="Q190" s="10" t="s">
        <v>889</v>
      </c>
      <c r="R190" s="11">
        <v>155752212</v>
      </c>
      <c r="S190" s="11">
        <v>1654654</v>
      </c>
      <c r="T190" s="11">
        <v>141761947</v>
      </c>
      <c r="U190" s="11">
        <v>176000000</v>
      </c>
      <c r="V190" s="12" t="s">
        <v>417</v>
      </c>
      <c r="W190" s="11">
        <v>0</v>
      </c>
      <c r="X190" s="11">
        <f>+R190*0.5%</f>
        <v>778761.06</v>
      </c>
      <c r="Y190" s="11">
        <f>+X190/2</f>
        <v>389380.53</v>
      </c>
      <c r="Z190" s="1">
        <f>+X190/R190</f>
        <v>5.0000000000000001E-3</v>
      </c>
      <c r="AA190" s="13"/>
      <c r="AB190" s="10" t="s">
        <v>412</v>
      </c>
    </row>
    <row r="191" spans="1:28" ht="15.75" customHeight="1" x14ac:dyDescent="0.25">
      <c r="A191" s="8" t="s">
        <v>401</v>
      </c>
      <c r="B191" s="8" t="s">
        <v>402</v>
      </c>
      <c r="C191" s="9" t="s">
        <v>403</v>
      </c>
      <c r="D191" s="8" t="s">
        <v>8</v>
      </c>
      <c r="E191" s="8" t="s">
        <v>302</v>
      </c>
      <c r="F191" s="8">
        <v>279</v>
      </c>
      <c r="G191" s="8" t="s">
        <v>404</v>
      </c>
      <c r="H191" s="8">
        <v>27039510</v>
      </c>
      <c r="I191" s="8" t="s">
        <v>890</v>
      </c>
      <c r="J191" s="8" t="s">
        <v>456</v>
      </c>
      <c r="K191" s="8" t="s">
        <v>407</v>
      </c>
      <c r="L191" s="8" t="s">
        <v>415</v>
      </c>
      <c r="M191" s="8" t="s">
        <v>306</v>
      </c>
      <c r="N191" s="8">
        <v>8</v>
      </c>
      <c r="O191" s="8" t="s">
        <v>458</v>
      </c>
      <c r="P191" s="8" t="s">
        <v>43</v>
      </c>
      <c r="Q191" s="10" t="s">
        <v>891</v>
      </c>
      <c r="R191" s="11">
        <v>51763780</v>
      </c>
      <c r="S191" s="11">
        <v>695700</v>
      </c>
      <c r="T191" s="11">
        <v>46908793</v>
      </c>
      <c r="U191" s="11">
        <v>65740001</v>
      </c>
      <c r="V191" s="12" t="s">
        <v>417</v>
      </c>
      <c r="W191" s="11">
        <v>9815051</v>
      </c>
      <c r="X191" s="11">
        <v>439992</v>
      </c>
      <c r="Y191" s="11">
        <v>0</v>
      </c>
      <c r="Z191" s="1">
        <f>+X191/R191</f>
        <v>8.4999974885914438E-3</v>
      </c>
      <c r="AA191" s="13"/>
      <c r="AB191" s="10" t="s">
        <v>412</v>
      </c>
    </row>
    <row r="192" spans="1:28" ht="15.75" customHeight="1" x14ac:dyDescent="0.25">
      <c r="A192" s="8" t="s">
        <v>401</v>
      </c>
      <c r="B192" s="8" t="s">
        <v>402</v>
      </c>
      <c r="C192" s="9" t="s">
        <v>403</v>
      </c>
      <c r="D192" s="8" t="s">
        <v>8</v>
      </c>
      <c r="E192" s="8" t="s">
        <v>302</v>
      </c>
      <c r="F192" s="8">
        <v>279</v>
      </c>
      <c r="G192" s="8" t="s">
        <v>529</v>
      </c>
      <c r="H192" s="8">
        <v>27011327</v>
      </c>
      <c r="I192" s="8" t="s">
        <v>892</v>
      </c>
      <c r="J192" s="8" t="s">
        <v>456</v>
      </c>
      <c r="K192" s="8" t="s">
        <v>407</v>
      </c>
      <c r="L192" s="8" t="s">
        <v>415</v>
      </c>
      <c r="M192" s="8" t="s">
        <v>303</v>
      </c>
      <c r="N192" s="8">
        <v>8</v>
      </c>
      <c r="O192" s="8" t="s">
        <v>458</v>
      </c>
      <c r="P192" s="8" t="s">
        <v>43</v>
      </c>
      <c r="Q192" s="10" t="s">
        <v>893</v>
      </c>
      <c r="R192" s="11">
        <v>51763780</v>
      </c>
      <c r="S192" s="11">
        <v>695700</v>
      </c>
      <c r="T192" s="11">
        <v>46908793</v>
      </c>
      <c r="U192" s="11">
        <v>65740001</v>
      </c>
      <c r="V192" s="12" t="s">
        <v>417</v>
      </c>
      <c r="W192" s="11">
        <v>0</v>
      </c>
      <c r="X192" s="11">
        <v>439992</v>
      </c>
      <c r="Y192" s="11">
        <f>+X192</f>
        <v>439992</v>
      </c>
      <c r="Z192" s="1">
        <f>+X192/R192</f>
        <v>8.4999974885914438E-3</v>
      </c>
      <c r="AA192" s="13"/>
      <c r="AB192" s="10" t="s">
        <v>412</v>
      </c>
    </row>
    <row r="193" spans="1:28" ht="15.75" customHeight="1" x14ac:dyDescent="0.25">
      <c r="A193" s="8" t="s">
        <v>401</v>
      </c>
      <c r="B193" s="8" t="s">
        <v>402</v>
      </c>
      <c r="C193" s="9" t="s">
        <v>403</v>
      </c>
      <c r="D193" s="8" t="s">
        <v>8</v>
      </c>
      <c r="E193" s="8" t="s">
        <v>302</v>
      </c>
      <c r="F193" s="8">
        <v>279</v>
      </c>
      <c r="G193" s="8" t="s">
        <v>577</v>
      </c>
      <c r="H193" s="8">
        <v>27026197</v>
      </c>
      <c r="I193" s="8" t="s">
        <v>894</v>
      </c>
      <c r="J193" s="8" t="s">
        <v>456</v>
      </c>
      <c r="K193" s="8" t="s">
        <v>407</v>
      </c>
      <c r="L193" s="8" t="s">
        <v>415</v>
      </c>
      <c r="M193" s="8" t="s">
        <v>305</v>
      </c>
      <c r="N193" s="8">
        <v>8</v>
      </c>
      <c r="O193" s="8" t="s">
        <v>458</v>
      </c>
      <c r="P193" s="8" t="s">
        <v>43</v>
      </c>
      <c r="Q193" s="10" t="s">
        <v>895</v>
      </c>
      <c r="R193" s="11">
        <v>51763780</v>
      </c>
      <c r="S193" s="11">
        <v>695700</v>
      </c>
      <c r="T193" s="11">
        <v>46908793</v>
      </c>
      <c r="U193" s="11">
        <v>65740001</v>
      </c>
      <c r="V193" s="12" t="s">
        <v>417</v>
      </c>
      <c r="W193" s="11">
        <v>43548348</v>
      </c>
      <c r="X193" s="11">
        <v>439992</v>
      </c>
      <c r="Y193" s="11">
        <v>0</v>
      </c>
      <c r="Z193" s="1">
        <f>+X193/R193</f>
        <v>8.4999974885914438E-3</v>
      </c>
      <c r="AA193" s="13"/>
      <c r="AB193" s="10" t="s">
        <v>412</v>
      </c>
    </row>
    <row r="194" spans="1:28" ht="15.75" customHeight="1" x14ac:dyDescent="0.25">
      <c r="A194" s="8" t="s">
        <v>401</v>
      </c>
      <c r="B194" s="8" t="s">
        <v>402</v>
      </c>
      <c r="C194" s="9" t="s">
        <v>403</v>
      </c>
      <c r="D194" s="8" t="s">
        <v>8</v>
      </c>
      <c r="E194" s="8" t="s">
        <v>302</v>
      </c>
      <c r="F194" s="8">
        <v>279</v>
      </c>
      <c r="G194" s="8" t="s">
        <v>505</v>
      </c>
      <c r="H194" s="8">
        <v>27071134</v>
      </c>
      <c r="I194" s="8" t="s">
        <v>896</v>
      </c>
      <c r="J194" s="8" t="s">
        <v>456</v>
      </c>
      <c r="K194" s="8" t="s">
        <v>407</v>
      </c>
      <c r="L194" s="8" t="s">
        <v>415</v>
      </c>
      <c r="M194" s="8" t="s">
        <v>304</v>
      </c>
      <c r="N194" s="8">
        <v>8</v>
      </c>
      <c r="O194" s="8" t="s">
        <v>458</v>
      </c>
      <c r="P194" s="8" t="s">
        <v>43</v>
      </c>
      <c r="Q194" s="10" t="s">
        <v>897</v>
      </c>
      <c r="R194" s="11">
        <v>51763780</v>
      </c>
      <c r="S194" s="11">
        <v>695700</v>
      </c>
      <c r="T194" s="11">
        <v>46908793</v>
      </c>
      <c r="U194" s="11">
        <v>65740001</v>
      </c>
      <c r="V194" s="12" t="s">
        <v>417</v>
      </c>
      <c r="W194" s="11">
        <v>0</v>
      </c>
      <c r="X194" s="11">
        <v>439992</v>
      </c>
      <c r="Y194" s="11">
        <f>+X194</f>
        <v>439992</v>
      </c>
      <c r="Z194" s="1">
        <f>+X194/R194</f>
        <v>8.4999974885914438E-3</v>
      </c>
      <c r="AA194" s="13"/>
      <c r="AB194" s="10" t="s">
        <v>412</v>
      </c>
    </row>
    <row r="195" spans="1:28" ht="15.75" customHeight="1" x14ac:dyDescent="0.25">
      <c r="A195" s="8" t="s">
        <v>401</v>
      </c>
      <c r="B195" s="8" t="s">
        <v>402</v>
      </c>
      <c r="C195" s="9" t="s">
        <v>403</v>
      </c>
      <c r="D195" s="8" t="s">
        <v>8</v>
      </c>
      <c r="E195" s="8" t="s">
        <v>302</v>
      </c>
      <c r="F195" s="8">
        <v>279</v>
      </c>
      <c r="G195" s="8" t="s">
        <v>496</v>
      </c>
      <c r="H195" s="8">
        <v>27052243</v>
      </c>
      <c r="I195" s="8" t="s">
        <v>898</v>
      </c>
      <c r="J195" s="8" t="s">
        <v>456</v>
      </c>
      <c r="K195" s="8" t="s">
        <v>407</v>
      </c>
      <c r="L195" s="8" t="s">
        <v>408</v>
      </c>
      <c r="M195" s="8" t="s">
        <v>309</v>
      </c>
      <c r="N195" s="8">
        <v>8</v>
      </c>
      <c r="O195" s="8" t="s">
        <v>441</v>
      </c>
      <c r="P195" s="8" t="s">
        <v>30</v>
      </c>
      <c r="Q195" s="10" t="s">
        <v>899</v>
      </c>
      <c r="R195" s="11">
        <v>134448142</v>
      </c>
      <c r="S195" s="11">
        <v>798300</v>
      </c>
      <c r="T195" s="11">
        <v>121850442</v>
      </c>
      <c r="U195" s="11">
        <v>151926400</v>
      </c>
      <c r="V195" s="12" t="s">
        <v>417</v>
      </c>
      <c r="W195" s="11">
        <v>143628758</v>
      </c>
      <c r="X195" s="11">
        <v>1142809</v>
      </c>
      <c r="Y195" s="11">
        <v>0</v>
      </c>
      <c r="Z195" s="1">
        <f>+X195/R195</f>
        <v>8.499998460372922E-3</v>
      </c>
      <c r="AA195" s="13"/>
      <c r="AB195" s="10" t="s">
        <v>412</v>
      </c>
    </row>
    <row r="196" spans="1:28" ht="15.75" customHeight="1" x14ac:dyDescent="0.25">
      <c r="A196" s="8" t="s">
        <v>401</v>
      </c>
      <c r="B196" s="8" t="s">
        <v>402</v>
      </c>
      <c r="C196" s="9" t="s">
        <v>403</v>
      </c>
      <c r="D196" s="8" t="s">
        <v>8</v>
      </c>
      <c r="E196" s="8" t="s">
        <v>302</v>
      </c>
      <c r="F196" s="8">
        <v>279</v>
      </c>
      <c r="G196" s="8" t="s">
        <v>557</v>
      </c>
      <c r="H196" s="8">
        <v>27050890</v>
      </c>
      <c r="I196" s="8" t="s">
        <v>900</v>
      </c>
      <c r="J196" s="8" t="s">
        <v>440</v>
      </c>
      <c r="K196" s="8" t="s">
        <v>414</v>
      </c>
      <c r="L196" s="8" t="s">
        <v>422</v>
      </c>
      <c r="M196" s="8" t="s">
        <v>311</v>
      </c>
      <c r="N196" s="8">
        <v>8</v>
      </c>
      <c r="O196" s="8" t="s">
        <v>568</v>
      </c>
      <c r="P196" s="8" t="s">
        <v>101</v>
      </c>
      <c r="Q196" s="10" t="s">
        <v>901</v>
      </c>
      <c r="R196" s="11">
        <v>156849558</v>
      </c>
      <c r="S196" s="11">
        <v>4343100</v>
      </c>
      <c r="T196" s="11">
        <v>141761947</v>
      </c>
      <c r="U196" s="11">
        <v>177240001</v>
      </c>
      <c r="V196" s="12" t="s">
        <v>554</v>
      </c>
      <c r="W196" s="11">
        <v>0</v>
      </c>
      <c r="X196" s="11">
        <v>1333221</v>
      </c>
      <c r="Y196" s="11">
        <f t="shared" ref="Y196:Y198" si="27">+X196</f>
        <v>1333221</v>
      </c>
      <c r="Z196" s="1">
        <f>+X196/R196</f>
        <v>8.4999984507447574E-3</v>
      </c>
      <c r="AA196" s="13"/>
      <c r="AB196" s="10" t="s">
        <v>412</v>
      </c>
    </row>
    <row r="197" spans="1:28" ht="15.75" customHeight="1" x14ac:dyDescent="0.25">
      <c r="A197" s="8" t="s">
        <v>401</v>
      </c>
      <c r="B197" s="8" t="s">
        <v>402</v>
      </c>
      <c r="C197" s="9" t="s">
        <v>403</v>
      </c>
      <c r="D197" s="8" t="s">
        <v>8</v>
      </c>
      <c r="E197" s="8" t="s">
        <v>302</v>
      </c>
      <c r="F197" s="8">
        <v>279</v>
      </c>
      <c r="G197" s="8" t="s">
        <v>510</v>
      </c>
      <c r="H197" s="8">
        <v>27029141</v>
      </c>
      <c r="I197" s="8" t="s">
        <v>902</v>
      </c>
      <c r="J197" s="8" t="s">
        <v>798</v>
      </c>
      <c r="K197" s="8" t="s">
        <v>439</v>
      </c>
      <c r="L197" s="8" t="s">
        <v>489</v>
      </c>
      <c r="M197" s="8" t="s">
        <v>310</v>
      </c>
      <c r="N197" s="8">
        <v>8</v>
      </c>
      <c r="O197" s="8" t="s">
        <v>568</v>
      </c>
      <c r="P197" s="8" t="s">
        <v>101</v>
      </c>
      <c r="Q197" s="10" t="s">
        <v>903</v>
      </c>
      <c r="R197" s="11">
        <v>158101947</v>
      </c>
      <c r="S197" s="11">
        <v>3798300</v>
      </c>
      <c r="T197" s="11">
        <v>141761947</v>
      </c>
      <c r="U197" s="11">
        <v>178655200</v>
      </c>
      <c r="V197" s="12" t="s">
        <v>554</v>
      </c>
      <c r="W197" s="11">
        <v>0</v>
      </c>
      <c r="X197" s="11">
        <v>1343867</v>
      </c>
      <c r="Y197" s="11">
        <f t="shared" si="27"/>
        <v>1343867</v>
      </c>
      <c r="Z197" s="1">
        <f>+X197/R197</f>
        <v>8.5000028494272746E-3</v>
      </c>
      <c r="AA197" s="13"/>
      <c r="AB197" s="10" t="s">
        <v>412</v>
      </c>
    </row>
    <row r="198" spans="1:28" ht="15.75" customHeight="1" x14ac:dyDescent="0.25">
      <c r="A198" s="8" t="s">
        <v>401</v>
      </c>
      <c r="B198" s="8" t="s">
        <v>402</v>
      </c>
      <c r="C198" s="9" t="s">
        <v>403</v>
      </c>
      <c r="D198" s="8" t="s">
        <v>8</v>
      </c>
      <c r="E198" s="8" t="s">
        <v>302</v>
      </c>
      <c r="F198" s="8">
        <v>279</v>
      </c>
      <c r="G198" s="8" t="s">
        <v>597</v>
      </c>
      <c r="H198" s="8">
        <v>27064326</v>
      </c>
      <c r="I198" s="8" t="s">
        <v>904</v>
      </c>
      <c r="J198" s="8" t="s">
        <v>415</v>
      </c>
      <c r="K198" s="8" t="s">
        <v>407</v>
      </c>
      <c r="L198" s="8" t="s">
        <v>444</v>
      </c>
      <c r="M198" s="8" t="s">
        <v>308</v>
      </c>
      <c r="N198" s="8">
        <v>8</v>
      </c>
      <c r="O198" s="8" t="s">
        <v>905</v>
      </c>
      <c r="P198" s="8" t="s">
        <v>307</v>
      </c>
      <c r="Q198" s="10" t="s">
        <v>906</v>
      </c>
      <c r="R198" s="11">
        <v>61409567</v>
      </c>
      <c r="S198" s="11">
        <v>695700</v>
      </c>
      <c r="T198" s="11">
        <v>57735564</v>
      </c>
      <c r="U198" s="11">
        <v>77990150</v>
      </c>
      <c r="V198" s="12" t="s">
        <v>426</v>
      </c>
      <c r="W198" s="11">
        <v>0</v>
      </c>
      <c r="X198" s="11">
        <v>521981</v>
      </c>
      <c r="Y198" s="11">
        <f t="shared" si="27"/>
        <v>521981</v>
      </c>
      <c r="Z198" s="1">
        <f>+X198/R198</f>
        <v>8.4999947972276054E-3</v>
      </c>
      <c r="AA198" s="13"/>
      <c r="AB198" s="10" t="s">
        <v>412</v>
      </c>
    </row>
    <row r="199" spans="1:28" ht="15.75" customHeight="1" x14ac:dyDescent="0.25">
      <c r="A199" s="8" t="s">
        <v>401</v>
      </c>
      <c r="B199" s="8" t="s">
        <v>402</v>
      </c>
      <c r="C199" s="9" t="s">
        <v>403</v>
      </c>
      <c r="D199" s="8" t="s">
        <v>8</v>
      </c>
      <c r="E199" s="8" t="s">
        <v>313</v>
      </c>
      <c r="F199" s="8">
        <v>1016</v>
      </c>
      <c r="G199" s="8" t="s">
        <v>404</v>
      </c>
      <c r="H199" s="8">
        <v>27081961</v>
      </c>
      <c r="I199" s="8" t="s">
        <v>907</v>
      </c>
      <c r="J199" s="8" t="s">
        <v>423</v>
      </c>
      <c r="K199" s="8" t="s">
        <v>407</v>
      </c>
      <c r="L199" s="8" t="s">
        <v>408</v>
      </c>
      <c r="M199" s="8" t="s">
        <v>317</v>
      </c>
      <c r="N199" s="8">
        <v>9</v>
      </c>
      <c r="O199" s="8" t="s">
        <v>545</v>
      </c>
      <c r="P199" s="8" t="s">
        <v>97</v>
      </c>
      <c r="Q199" s="10" t="s">
        <v>908</v>
      </c>
      <c r="R199" s="11">
        <v>66323150</v>
      </c>
      <c r="S199" s="11">
        <v>1431000</v>
      </c>
      <c r="T199" s="11">
        <v>63159842</v>
      </c>
      <c r="U199" s="11">
        <v>84230401</v>
      </c>
      <c r="V199" s="12" t="s">
        <v>471</v>
      </c>
      <c r="W199" s="11">
        <v>0</v>
      </c>
      <c r="X199" s="11">
        <v>563747</v>
      </c>
      <c r="Y199" s="11">
        <f>X199</f>
        <v>563747</v>
      </c>
      <c r="Z199" s="1">
        <f>+X199/R199</f>
        <v>8.5000033924806043E-3</v>
      </c>
      <c r="AA199" s="13"/>
      <c r="AB199" s="10" t="s">
        <v>412</v>
      </c>
    </row>
    <row r="200" spans="1:28" ht="15.75" customHeight="1" x14ac:dyDescent="0.25">
      <c r="A200" s="8" t="s">
        <v>401</v>
      </c>
      <c r="B200" s="8" t="s">
        <v>402</v>
      </c>
      <c r="C200" s="9" t="s">
        <v>403</v>
      </c>
      <c r="D200" s="8" t="s">
        <v>8</v>
      </c>
      <c r="E200" s="8" t="s">
        <v>313</v>
      </c>
      <c r="F200" s="8">
        <v>1016</v>
      </c>
      <c r="G200" s="8" t="s">
        <v>404</v>
      </c>
      <c r="H200" s="8">
        <v>27088863</v>
      </c>
      <c r="I200" s="8" t="s">
        <v>909</v>
      </c>
      <c r="J200" s="8" t="s">
        <v>408</v>
      </c>
      <c r="K200" s="8" t="s">
        <v>407</v>
      </c>
      <c r="L200" s="8" t="s">
        <v>444</v>
      </c>
      <c r="M200" s="8" t="s">
        <v>315</v>
      </c>
      <c r="N200" s="8">
        <v>9</v>
      </c>
      <c r="O200" s="8" t="s">
        <v>409</v>
      </c>
      <c r="P200" s="8" t="s">
        <v>21</v>
      </c>
      <c r="Q200" s="10" t="s">
        <v>910</v>
      </c>
      <c r="R200" s="11">
        <v>84047244</v>
      </c>
      <c r="S200" s="11">
        <v>5207000</v>
      </c>
      <c r="T200" s="11">
        <v>77595538</v>
      </c>
      <c r="U200" s="11">
        <v>106740000</v>
      </c>
      <c r="V200" s="12" t="s">
        <v>411</v>
      </c>
      <c r="W200" s="11">
        <v>0</v>
      </c>
      <c r="X200" s="11">
        <v>714402</v>
      </c>
      <c r="Y200" s="11">
        <f>+X200</f>
        <v>714402</v>
      </c>
      <c r="Z200" s="1">
        <f>+X200/R200</f>
        <v>8.5000050685778584E-3</v>
      </c>
      <c r="AA200" s="13"/>
      <c r="AB200" s="10" t="s">
        <v>412</v>
      </c>
    </row>
    <row r="201" spans="1:28" ht="15.75" customHeight="1" x14ac:dyDescent="0.25">
      <c r="A201" s="8" t="s">
        <v>401</v>
      </c>
      <c r="B201" s="8" t="s">
        <v>402</v>
      </c>
      <c r="C201" s="9" t="s">
        <v>403</v>
      </c>
      <c r="D201" s="8" t="s">
        <v>8</v>
      </c>
      <c r="E201" s="8" t="s">
        <v>313</v>
      </c>
      <c r="F201" s="8">
        <v>1016</v>
      </c>
      <c r="G201" s="8" t="s">
        <v>404</v>
      </c>
      <c r="H201" s="8">
        <v>27078000</v>
      </c>
      <c r="I201" s="8" t="s">
        <v>911</v>
      </c>
      <c r="J201" s="8" t="s">
        <v>414</v>
      </c>
      <c r="K201" s="8" t="s">
        <v>407</v>
      </c>
      <c r="L201" s="8" t="s">
        <v>408</v>
      </c>
      <c r="M201" s="8" t="s">
        <v>314</v>
      </c>
      <c r="N201" s="8">
        <v>9</v>
      </c>
      <c r="O201" s="8" t="s">
        <v>409</v>
      </c>
      <c r="P201" s="8" t="s">
        <v>21</v>
      </c>
      <c r="Q201" s="10" t="s">
        <v>912</v>
      </c>
      <c r="R201" s="11">
        <v>83562126</v>
      </c>
      <c r="S201" s="11">
        <v>1854000</v>
      </c>
      <c r="T201" s="11">
        <v>76151969</v>
      </c>
      <c r="U201" s="11">
        <v>106123900</v>
      </c>
      <c r="V201" s="12" t="s">
        <v>417</v>
      </c>
      <c r="W201" s="11">
        <v>0</v>
      </c>
      <c r="X201" s="11">
        <v>710278</v>
      </c>
      <c r="Y201" s="11">
        <f>X201</f>
        <v>710278</v>
      </c>
      <c r="Z201" s="1">
        <f>+X201/R201</f>
        <v>8.4999991503327717E-3</v>
      </c>
      <c r="AA201" s="13"/>
      <c r="AB201" s="10" t="s">
        <v>412</v>
      </c>
    </row>
    <row r="202" spans="1:28" ht="15.75" customHeight="1" x14ac:dyDescent="0.25">
      <c r="A202" s="8" t="s">
        <v>401</v>
      </c>
      <c r="B202" s="8" t="s">
        <v>402</v>
      </c>
      <c r="C202" s="9" t="s">
        <v>403</v>
      </c>
      <c r="D202" s="8" t="s">
        <v>8</v>
      </c>
      <c r="E202" s="8" t="s">
        <v>313</v>
      </c>
      <c r="F202" s="8">
        <v>1016</v>
      </c>
      <c r="G202" s="8" t="s">
        <v>496</v>
      </c>
      <c r="H202" s="8">
        <v>27078283</v>
      </c>
      <c r="I202" s="8" t="s">
        <v>913</v>
      </c>
      <c r="J202" s="8" t="s">
        <v>423</v>
      </c>
      <c r="K202" s="8" t="s">
        <v>407</v>
      </c>
      <c r="L202" s="8" t="s">
        <v>408</v>
      </c>
      <c r="M202" s="8" t="s">
        <v>316</v>
      </c>
      <c r="N202" s="8">
        <v>9</v>
      </c>
      <c r="O202" s="8" t="s">
        <v>466</v>
      </c>
      <c r="P202" s="8" t="s">
        <v>51</v>
      </c>
      <c r="Q202" s="10" t="s">
        <v>914</v>
      </c>
      <c r="R202" s="11">
        <v>62496220</v>
      </c>
      <c r="S202" s="11">
        <v>1464000</v>
      </c>
      <c r="T202" s="11">
        <v>58107349</v>
      </c>
      <c r="U202" s="11">
        <v>79370199</v>
      </c>
      <c r="V202" s="12" t="s">
        <v>463</v>
      </c>
      <c r="W202" s="11">
        <v>46608046</v>
      </c>
      <c r="X202" s="11">
        <v>531218</v>
      </c>
      <c r="Y202" s="11">
        <v>0</v>
      </c>
      <c r="Z202" s="1">
        <f>+X202/R202</f>
        <v>8.5000020801258066E-3</v>
      </c>
      <c r="AA202" s="13"/>
      <c r="AB202" s="10" t="s">
        <v>412</v>
      </c>
    </row>
    <row r="203" spans="1:28" ht="15.75" customHeight="1" x14ac:dyDescent="0.25">
      <c r="A203" s="8" t="s">
        <v>401</v>
      </c>
      <c r="B203" s="8" t="s">
        <v>402</v>
      </c>
      <c r="C203" s="9" t="s">
        <v>403</v>
      </c>
      <c r="D203" s="8" t="s">
        <v>8</v>
      </c>
      <c r="E203" s="8" t="s">
        <v>313</v>
      </c>
      <c r="F203" s="8">
        <v>1016</v>
      </c>
      <c r="G203" s="8" t="s">
        <v>404</v>
      </c>
      <c r="H203" s="8">
        <v>27076597</v>
      </c>
      <c r="I203" s="8" t="s">
        <v>915</v>
      </c>
      <c r="J203" s="8" t="s">
        <v>414</v>
      </c>
      <c r="K203" s="8" t="s">
        <v>407</v>
      </c>
      <c r="L203" s="8" t="s">
        <v>415</v>
      </c>
      <c r="M203" s="8" t="s">
        <v>319</v>
      </c>
      <c r="N203" s="8">
        <v>9</v>
      </c>
      <c r="O203" s="8" t="s">
        <v>429</v>
      </c>
      <c r="P203" s="8" t="s">
        <v>27</v>
      </c>
      <c r="Q203" s="10" t="s">
        <v>916</v>
      </c>
      <c r="R203" s="11">
        <v>45661417</v>
      </c>
      <c r="S203" s="11">
        <v>695700</v>
      </c>
      <c r="T203" s="11">
        <v>41856299</v>
      </c>
      <c r="U203" s="11">
        <v>57990000</v>
      </c>
      <c r="V203" s="12" t="s">
        <v>411</v>
      </c>
      <c r="W203" s="11">
        <v>0</v>
      </c>
      <c r="X203" s="11">
        <v>388122</v>
      </c>
      <c r="Y203" s="11">
        <f>+X203</f>
        <v>388122</v>
      </c>
      <c r="Z203" s="1">
        <f>+X203/R203</f>
        <v>8.4999990254354136E-3</v>
      </c>
      <c r="AA203" s="13"/>
      <c r="AB203" s="10" t="s">
        <v>412</v>
      </c>
    </row>
    <row r="204" spans="1:28" ht="15.75" customHeight="1" x14ac:dyDescent="0.25">
      <c r="A204" s="8" t="s">
        <v>401</v>
      </c>
      <c r="B204" s="8" t="s">
        <v>402</v>
      </c>
      <c r="C204" s="9" t="s">
        <v>403</v>
      </c>
      <c r="D204" s="8" t="s">
        <v>8</v>
      </c>
      <c r="E204" s="8" t="s">
        <v>313</v>
      </c>
      <c r="F204" s="8">
        <v>1016</v>
      </c>
      <c r="G204" s="8" t="s">
        <v>404</v>
      </c>
      <c r="H204" s="8">
        <v>27071643</v>
      </c>
      <c r="I204" s="8" t="s">
        <v>917</v>
      </c>
      <c r="J204" s="8" t="s">
        <v>456</v>
      </c>
      <c r="K204" s="8" t="s">
        <v>407</v>
      </c>
      <c r="L204" s="8" t="s">
        <v>415</v>
      </c>
      <c r="M204" s="8" t="s">
        <v>318</v>
      </c>
      <c r="N204" s="8">
        <v>9</v>
      </c>
      <c r="O204" s="8" t="s">
        <v>429</v>
      </c>
      <c r="P204" s="8" t="s">
        <v>27</v>
      </c>
      <c r="Q204" s="10" t="s">
        <v>918</v>
      </c>
      <c r="R204" s="11">
        <v>45661417</v>
      </c>
      <c r="S204" s="11">
        <v>695700</v>
      </c>
      <c r="T204" s="11">
        <v>41856299</v>
      </c>
      <c r="U204" s="11">
        <v>57990000</v>
      </c>
      <c r="V204" s="12" t="s">
        <v>411</v>
      </c>
      <c r="W204" s="11">
        <v>0</v>
      </c>
      <c r="X204" s="11">
        <v>388122</v>
      </c>
      <c r="Y204" s="11">
        <f t="shared" ref="Y204:Y205" si="28">+X204</f>
        <v>388122</v>
      </c>
      <c r="Z204" s="1">
        <f>+X204/R204</f>
        <v>8.4999990254354136E-3</v>
      </c>
      <c r="AA204" s="13"/>
      <c r="AB204" s="10" t="s">
        <v>412</v>
      </c>
    </row>
    <row r="205" spans="1:28" ht="15.75" customHeight="1" x14ac:dyDescent="0.25">
      <c r="A205" s="8" t="s">
        <v>401</v>
      </c>
      <c r="B205" s="8" t="s">
        <v>402</v>
      </c>
      <c r="C205" s="9" t="s">
        <v>403</v>
      </c>
      <c r="D205" s="8" t="s">
        <v>8</v>
      </c>
      <c r="E205" s="8" t="s">
        <v>313</v>
      </c>
      <c r="F205" s="8">
        <v>1016</v>
      </c>
      <c r="G205" s="8" t="s">
        <v>404</v>
      </c>
      <c r="H205" s="8">
        <v>27072168</v>
      </c>
      <c r="I205" s="8" t="s">
        <v>919</v>
      </c>
      <c r="J205" s="8" t="s">
        <v>456</v>
      </c>
      <c r="K205" s="8" t="s">
        <v>407</v>
      </c>
      <c r="L205" s="8" t="s">
        <v>415</v>
      </c>
      <c r="M205" s="8" t="s">
        <v>320</v>
      </c>
      <c r="N205" s="8">
        <v>9</v>
      </c>
      <c r="O205" s="8" t="s">
        <v>458</v>
      </c>
      <c r="P205" s="8" t="s">
        <v>43</v>
      </c>
      <c r="Q205" s="10" t="s">
        <v>920</v>
      </c>
      <c r="R205" s="11">
        <v>51763780</v>
      </c>
      <c r="S205" s="11">
        <v>695700</v>
      </c>
      <c r="T205" s="11">
        <v>46908793</v>
      </c>
      <c r="U205" s="11">
        <v>65740001</v>
      </c>
      <c r="V205" s="12" t="s">
        <v>417</v>
      </c>
      <c r="W205" s="11">
        <v>0</v>
      </c>
      <c r="X205" s="11">
        <v>439992</v>
      </c>
      <c r="Y205" s="11">
        <f t="shared" si="28"/>
        <v>439992</v>
      </c>
      <c r="Z205" s="1">
        <f>+X205/R205</f>
        <v>8.4999974885914438E-3</v>
      </c>
      <c r="AA205" s="13"/>
      <c r="AB205" s="10" t="s">
        <v>412</v>
      </c>
    </row>
    <row r="206" spans="1:28" ht="15.75" customHeight="1" x14ac:dyDescent="0.25">
      <c r="A206" s="8" t="s">
        <v>401</v>
      </c>
      <c r="B206" s="8" t="s">
        <v>402</v>
      </c>
      <c r="C206" s="9" t="s">
        <v>403</v>
      </c>
      <c r="D206" s="8" t="s">
        <v>8</v>
      </c>
      <c r="E206" s="8" t="s">
        <v>313</v>
      </c>
      <c r="F206" s="8">
        <v>1016</v>
      </c>
      <c r="G206" s="8" t="s">
        <v>557</v>
      </c>
      <c r="H206" s="8">
        <v>27069133</v>
      </c>
      <c r="I206" s="8" t="s">
        <v>921</v>
      </c>
      <c r="J206" s="8" t="s">
        <v>456</v>
      </c>
      <c r="K206" s="8" t="s">
        <v>407</v>
      </c>
      <c r="L206" s="8" t="s">
        <v>457</v>
      </c>
      <c r="M206" s="8" t="s">
        <v>322</v>
      </c>
      <c r="N206" s="8">
        <v>9</v>
      </c>
      <c r="O206" s="8" t="s">
        <v>568</v>
      </c>
      <c r="P206" s="8" t="s">
        <v>101</v>
      </c>
      <c r="Q206" s="10" t="s">
        <v>922</v>
      </c>
      <c r="R206" s="11">
        <v>154496814</v>
      </c>
      <c r="S206" s="11">
        <v>798300</v>
      </c>
      <c r="T206" s="11">
        <v>141761947</v>
      </c>
      <c r="U206" s="11">
        <v>174581400</v>
      </c>
      <c r="V206" s="12" t="s">
        <v>411</v>
      </c>
      <c r="W206" s="11">
        <v>147913000</v>
      </c>
      <c r="X206" s="11">
        <v>1313223</v>
      </c>
      <c r="Y206" s="11">
        <v>0</v>
      </c>
      <c r="Z206" s="1">
        <f>+X206/R206</f>
        <v>8.5000005242826561E-3</v>
      </c>
      <c r="AA206" s="13"/>
      <c r="AB206" s="10" t="s">
        <v>412</v>
      </c>
    </row>
    <row r="207" spans="1:28" ht="15.75" customHeight="1" x14ac:dyDescent="0.25">
      <c r="A207" s="8" t="s">
        <v>401</v>
      </c>
      <c r="B207" s="8" t="s">
        <v>402</v>
      </c>
      <c r="C207" s="9" t="s">
        <v>403</v>
      </c>
      <c r="D207" s="8" t="s">
        <v>8</v>
      </c>
      <c r="E207" s="8" t="s">
        <v>313</v>
      </c>
      <c r="F207" s="8">
        <v>1016</v>
      </c>
      <c r="G207" s="8" t="s">
        <v>404</v>
      </c>
      <c r="H207" s="8">
        <v>27054019</v>
      </c>
      <c r="I207" s="8" t="s">
        <v>923</v>
      </c>
      <c r="J207" s="8" t="s">
        <v>406</v>
      </c>
      <c r="K207" s="8" t="s">
        <v>407</v>
      </c>
      <c r="L207" s="8" t="s">
        <v>457</v>
      </c>
      <c r="M207" s="8" t="s">
        <v>321</v>
      </c>
      <c r="N207" s="8">
        <v>9</v>
      </c>
      <c r="O207" s="8" t="s">
        <v>461</v>
      </c>
      <c r="P207" s="8" t="s">
        <v>45</v>
      </c>
      <c r="Q207" s="10" t="s">
        <v>924</v>
      </c>
      <c r="R207" s="11">
        <v>70149685</v>
      </c>
      <c r="S207" s="11">
        <v>735600</v>
      </c>
      <c r="T207" s="11">
        <v>64953412</v>
      </c>
      <c r="U207" s="11">
        <v>89090100</v>
      </c>
      <c r="V207" s="12" t="s">
        <v>463</v>
      </c>
      <c r="W207" s="11">
        <v>0</v>
      </c>
      <c r="X207" s="11">
        <v>596272</v>
      </c>
      <c r="Y207" s="11">
        <f t="shared" ref="Y207:Y211" si="29">+X207</f>
        <v>596272</v>
      </c>
      <c r="Z207" s="1">
        <f>+X207/R207</f>
        <v>8.4999954026878377E-3</v>
      </c>
      <c r="AA207" s="13"/>
      <c r="AB207" s="10" t="s">
        <v>412</v>
      </c>
    </row>
    <row r="208" spans="1:28" ht="15.75" customHeight="1" x14ac:dyDescent="0.25">
      <c r="A208" s="8" t="s">
        <v>401</v>
      </c>
      <c r="B208" s="8" t="s">
        <v>402</v>
      </c>
      <c r="C208" s="9" t="s">
        <v>403</v>
      </c>
      <c r="D208" s="8" t="s">
        <v>8</v>
      </c>
      <c r="E208" s="8" t="s">
        <v>324</v>
      </c>
      <c r="F208" s="8">
        <v>967</v>
      </c>
      <c r="G208" s="8" t="s">
        <v>404</v>
      </c>
      <c r="H208" s="8">
        <v>27053511</v>
      </c>
      <c r="I208" s="8" t="s">
        <v>925</v>
      </c>
      <c r="J208" s="8" t="s">
        <v>452</v>
      </c>
      <c r="K208" s="8" t="s">
        <v>428</v>
      </c>
      <c r="L208" s="8" t="s">
        <v>456</v>
      </c>
      <c r="M208" s="8" t="s">
        <v>328</v>
      </c>
      <c r="N208" s="8">
        <v>13</v>
      </c>
      <c r="O208" s="8" t="s">
        <v>545</v>
      </c>
      <c r="P208" s="8" t="s">
        <v>97</v>
      </c>
      <c r="Q208" s="10" t="s">
        <v>926</v>
      </c>
      <c r="R208" s="11">
        <v>67874016</v>
      </c>
      <c r="S208" s="11">
        <v>1431000</v>
      </c>
      <c r="T208" s="11">
        <v>63159842</v>
      </c>
      <c r="U208" s="11">
        <v>86200000</v>
      </c>
      <c r="V208" s="12" t="s">
        <v>463</v>
      </c>
      <c r="W208" s="11">
        <v>0</v>
      </c>
      <c r="X208" s="11">
        <v>576929</v>
      </c>
      <c r="Y208" s="11">
        <f t="shared" si="29"/>
        <v>576929</v>
      </c>
      <c r="Z208" s="1">
        <f>+X208/R208</f>
        <v>8.4999979962877108E-3</v>
      </c>
      <c r="AA208" s="13"/>
      <c r="AB208" s="10" t="s">
        <v>412</v>
      </c>
    </row>
    <row r="209" spans="1:28" ht="15.75" customHeight="1" x14ac:dyDescent="0.25">
      <c r="A209" s="8" t="s">
        <v>401</v>
      </c>
      <c r="B209" s="8" t="s">
        <v>402</v>
      </c>
      <c r="C209" s="9" t="s">
        <v>403</v>
      </c>
      <c r="D209" s="8" t="s">
        <v>8</v>
      </c>
      <c r="E209" s="8" t="s">
        <v>324</v>
      </c>
      <c r="F209" s="8">
        <v>967</v>
      </c>
      <c r="G209" s="8" t="s">
        <v>404</v>
      </c>
      <c r="H209" s="8">
        <v>27040001</v>
      </c>
      <c r="I209" s="8" t="s">
        <v>927</v>
      </c>
      <c r="J209" s="8" t="s">
        <v>588</v>
      </c>
      <c r="K209" s="8" t="s">
        <v>456</v>
      </c>
      <c r="L209" s="8" t="s">
        <v>439</v>
      </c>
      <c r="M209" s="8" t="s">
        <v>325</v>
      </c>
      <c r="N209" s="8">
        <v>13</v>
      </c>
      <c r="O209" s="8" t="s">
        <v>409</v>
      </c>
      <c r="P209" s="8" t="s">
        <v>21</v>
      </c>
      <c r="Q209" s="10" t="s">
        <v>928</v>
      </c>
      <c r="R209" s="11">
        <v>84047244</v>
      </c>
      <c r="S209" s="11">
        <v>2508000</v>
      </c>
      <c r="T209" s="11">
        <v>77595538</v>
      </c>
      <c r="U209" s="11">
        <v>106740000</v>
      </c>
      <c r="V209" s="12" t="s">
        <v>411</v>
      </c>
      <c r="W209" s="11">
        <v>0</v>
      </c>
      <c r="X209" s="11">
        <v>714402</v>
      </c>
      <c r="Y209" s="11">
        <f t="shared" si="29"/>
        <v>714402</v>
      </c>
      <c r="Z209" s="1">
        <f>+X209/R209</f>
        <v>8.5000050685778584E-3</v>
      </c>
      <c r="AA209" s="13"/>
      <c r="AB209" s="10" t="s">
        <v>412</v>
      </c>
    </row>
    <row r="210" spans="1:28" ht="15.75" customHeight="1" x14ac:dyDescent="0.25">
      <c r="A210" s="8" t="s">
        <v>401</v>
      </c>
      <c r="B210" s="8" t="s">
        <v>402</v>
      </c>
      <c r="C210" s="9" t="s">
        <v>403</v>
      </c>
      <c r="D210" s="8" t="s">
        <v>8</v>
      </c>
      <c r="E210" s="8" t="s">
        <v>324</v>
      </c>
      <c r="F210" s="8">
        <v>967</v>
      </c>
      <c r="G210" s="8" t="s">
        <v>496</v>
      </c>
      <c r="H210" s="8">
        <v>27060744</v>
      </c>
      <c r="I210" s="8" t="s">
        <v>929</v>
      </c>
      <c r="J210" s="8" t="s">
        <v>609</v>
      </c>
      <c r="K210" s="8" t="s">
        <v>408</v>
      </c>
      <c r="L210" s="8" t="s">
        <v>414</v>
      </c>
      <c r="M210" s="8" t="s">
        <v>326</v>
      </c>
      <c r="N210" s="8">
        <v>13</v>
      </c>
      <c r="O210" s="8" t="s">
        <v>499</v>
      </c>
      <c r="P210" s="8" t="s">
        <v>66</v>
      </c>
      <c r="Q210" s="10" t="s">
        <v>930</v>
      </c>
      <c r="R210" s="11">
        <v>76377953</v>
      </c>
      <c r="S210" s="11">
        <v>1431000</v>
      </c>
      <c r="T210" s="11">
        <v>69655906</v>
      </c>
      <c r="U210" s="11">
        <v>97000000</v>
      </c>
      <c r="V210" s="12" t="s">
        <v>417</v>
      </c>
      <c r="W210" s="11">
        <v>0</v>
      </c>
      <c r="X210" s="11">
        <v>649213</v>
      </c>
      <c r="Y210" s="11">
        <f t="shared" si="29"/>
        <v>649213</v>
      </c>
      <c r="Z210" s="1">
        <f>+X210/R210</f>
        <v>8.500005230566994E-3</v>
      </c>
      <c r="AA210" s="13"/>
      <c r="AB210" s="10" t="s">
        <v>412</v>
      </c>
    </row>
    <row r="211" spans="1:28" ht="15.75" customHeight="1" x14ac:dyDescent="0.25">
      <c r="A211" s="8" t="s">
        <v>401</v>
      </c>
      <c r="B211" s="8" t="s">
        <v>402</v>
      </c>
      <c r="C211" s="9" t="s">
        <v>403</v>
      </c>
      <c r="D211" s="8" t="s">
        <v>8</v>
      </c>
      <c r="E211" s="8" t="s">
        <v>324</v>
      </c>
      <c r="F211" s="8">
        <v>967</v>
      </c>
      <c r="G211" s="8" t="s">
        <v>577</v>
      </c>
      <c r="H211" s="8">
        <v>27040086</v>
      </c>
      <c r="I211" s="8" t="s">
        <v>931</v>
      </c>
      <c r="J211" s="8" t="s">
        <v>587</v>
      </c>
      <c r="K211" s="8" t="s">
        <v>422</v>
      </c>
      <c r="L211" s="8" t="s">
        <v>452</v>
      </c>
      <c r="M211" s="8" t="s">
        <v>327</v>
      </c>
      <c r="N211" s="8">
        <v>13</v>
      </c>
      <c r="O211" s="8" t="s">
        <v>499</v>
      </c>
      <c r="P211" s="8" t="s">
        <v>66</v>
      </c>
      <c r="Q211" s="10" t="s">
        <v>932</v>
      </c>
      <c r="R211" s="11">
        <v>75385827</v>
      </c>
      <c r="S211" s="11">
        <v>1431000</v>
      </c>
      <c r="T211" s="11">
        <v>69655906</v>
      </c>
      <c r="U211" s="11">
        <v>95740000</v>
      </c>
      <c r="V211" s="12" t="s">
        <v>411</v>
      </c>
      <c r="W211" s="11">
        <v>0</v>
      </c>
      <c r="X211" s="11">
        <v>640780</v>
      </c>
      <c r="Y211" s="11">
        <f t="shared" si="29"/>
        <v>640780</v>
      </c>
      <c r="Z211" s="1">
        <f>+X211/R211</f>
        <v>8.5000062412262187E-3</v>
      </c>
      <c r="AA211" s="13"/>
      <c r="AB211" s="10" t="s">
        <v>412</v>
      </c>
    </row>
    <row r="212" spans="1:28" ht="15.75" customHeight="1" x14ac:dyDescent="0.25">
      <c r="A212" s="8" t="s">
        <v>401</v>
      </c>
      <c r="B212" s="8" t="s">
        <v>402</v>
      </c>
      <c r="C212" s="9" t="s">
        <v>403</v>
      </c>
      <c r="D212" s="8" t="s">
        <v>8</v>
      </c>
      <c r="E212" s="8" t="s">
        <v>324</v>
      </c>
      <c r="F212" s="8">
        <v>967</v>
      </c>
      <c r="G212" s="8" t="s">
        <v>496</v>
      </c>
      <c r="H212" s="8">
        <v>27005994</v>
      </c>
      <c r="I212" s="8" t="s">
        <v>933</v>
      </c>
      <c r="J212" s="8" t="s">
        <v>414</v>
      </c>
      <c r="K212" s="8" t="s">
        <v>407</v>
      </c>
      <c r="L212" s="8" t="s">
        <v>415</v>
      </c>
      <c r="M212" s="8" t="s">
        <v>329</v>
      </c>
      <c r="N212" s="8">
        <v>13</v>
      </c>
      <c r="O212" s="8" t="s">
        <v>429</v>
      </c>
      <c r="P212" s="8" t="s">
        <v>27</v>
      </c>
      <c r="Q212" s="10" t="s">
        <v>934</v>
      </c>
      <c r="R212" s="11">
        <v>45661417</v>
      </c>
      <c r="S212" s="11">
        <v>695700</v>
      </c>
      <c r="T212" s="11">
        <v>41856299</v>
      </c>
      <c r="U212" s="11">
        <v>57990000</v>
      </c>
      <c r="V212" s="12" t="s">
        <v>411</v>
      </c>
      <c r="W212" s="11">
        <v>51878363</v>
      </c>
      <c r="X212" s="11">
        <v>388122</v>
      </c>
      <c r="Y212" s="11">
        <v>0</v>
      </c>
      <c r="Z212" s="1">
        <f>+X212/R212</f>
        <v>8.4999990254354136E-3</v>
      </c>
      <c r="AA212" s="13"/>
      <c r="AB212" s="10" t="s">
        <v>412</v>
      </c>
    </row>
    <row r="213" spans="1:28" ht="15.75" customHeight="1" x14ac:dyDescent="0.25">
      <c r="A213" s="8" t="s">
        <v>401</v>
      </c>
      <c r="B213" s="8" t="s">
        <v>402</v>
      </c>
      <c r="C213" s="9" t="s">
        <v>403</v>
      </c>
      <c r="D213" s="8" t="s">
        <v>8</v>
      </c>
      <c r="E213" s="8" t="s">
        <v>324</v>
      </c>
      <c r="F213" s="8">
        <v>967</v>
      </c>
      <c r="G213" s="8" t="s">
        <v>496</v>
      </c>
      <c r="H213" s="8">
        <v>27077940</v>
      </c>
      <c r="I213" s="8" t="s">
        <v>935</v>
      </c>
      <c r="J213" s="8" t="s">
        <v>414</v>
      </c>
      <c r="K213" s="8" t="s">
        <v>407</v>
      </c>
      <c r="L213" s="8" t="s">
        <v>408</v>
      </c>
      <c r="M213" s="8" t="s">
        <v>331</v>
      </c>
      <c r="N213" s="8">
        <v>13</v>
      </c>
      <c r="O213" s="8" t="s">
        <v>429</v>
      </c>
      <c r="P213" s="8" t="s">
        <v>27</v>
      </c>
      <c r="Q213" s="10" t="s">
        <v>936</v>
      </c>
      <c r="R213" s="11">
        <v>45661417</v>
      </c>
      <c r="S213" s="11">
        <v>695700</v>
      </c>
      <c r="T213" s="11">
        <v>41856299</v>
      </c>
      <c r="U213" s="11">
        <v>57990000</v>
      </c>
      <c r="V213" s="12" t="s">
        <v>411</v>
      </c>
      <c r="W213" s="11">
        <v>57990000</v>
      </c>
      <c r="X213" s="11">
        <v>388122</v>
      </c>
      <c r="Y213" s="11">
        <v>0</v>
      </c>
      <c r="Z213" s="1">
        <f>+X213/R213</f>
        <v>8.4999990254354136E-3</v>
      </c>
      <c r="AA213" s="13"/>
      <c r="AB213" s="10" t="s">
        <v>412</v>
      </c>
    </row>
    <row r="214" spans="1:28" ht="15.75" customHeight="1" x14ac:dyDescent="0.25">
      <c r="A214" s="8" t="s">
        <v>401</v>
      </c>
      <c r="B214" s="8" t="s">
        <v>402</v>
      </c>
      <c r="C214" s="9" t="s">
        <v>403</v>
      </c>
      <c r="D214" s="8" t="s">
        <v>8</v>
      </c>
      <c r="E214" s="8" t="s">
        <v>324</v>
      </c>
      <c r="F214" s="8">
        <v>967</v>
      </c>
      <c r="G214" s="8" t="s">
        <v>496</v>
      </c>
      <c r="H214" s="8">
        <v>27003641</v>
      </c>
      <c r="I214" s="8" t="s">
        <v>937</v>
      </c>
      <c r="J214" s="8" t="s">
        <v>457</v>
      </c>
      <c r="K214" s="8" t="s">
        <v>407</v>
      </c>
      <c r="L214" s="8" t="s">
        <v>415</v>
      </c>
      <c r="M214" s="8" t="s">
        <v>330</v>
      </c>
      <c r="N214" s="8">
        <v>13</v>
      </c>
      <c r="O214" s="8" t="s">
        <v>429</v>
      </c>
      <c r="P214" s="8" t="s">
        <v>27</v>
      </c>
      <c r="Q214" s="10" t="s">
        <v>938</v>
      </c>
      <c r="R214" s="11">
        <v>45661417</v>
      </c>
      <c r="S214" s="11">
        <v>695700</v>
      </c>
      <c r="T214" s="11">
        <v>41856299</v>
      </c>
      <c r="U214" s="11">
        <v>57990000</v>
      </c>
      <c r="V214" s="12" t="s">
        <v>411</v>
      </c>
      <c r="W214" s="11">
        <v>37992347</v>
      </c>
      <c r="X214" s="11">
        <v>388122</v>
      </c>
      <c r="Y214" s="11">
        <v>0</v>
      </c>
      <c r="Z214" s="1">
        <f>+X214/R214</f>
        <v>8.4999990254354136E-3</v>
      </c>
      <c r="AA214" s="13"/>
      <c r="AB214" s="10" t="s">
        <v>412</v>
      </c>
    </row>
    <row r="215" spans="1:28" ht="15.75" customHeight="1" x14ac:dyDescent="0.25">
      <c r="A215" s="8" t="s">
        <v>401</v>
      </c>
      <c r="B215" s="8" t="s">
        <v>402</v>
      </c>
      <c r="C215" s="9" t="s">
        <v>403</v>
      </c>
      <c r="D215" s="8" t="s">
        <v>8</v>
      </c>
      <c r="E215" s="8" t="s">
        <v>324</v>
      </c>
      <c r="F215" s="8">
        <v>967</v>
      </c>
      <c r="G215" s="8" t="s">
        <v>510</v>
      </c>
      <c r="H215" s="8">
        <v>27017482</v>
      </c>
      <c r="I215" s="8" t="s">
        <v>939</v>
      </c>
      <c r="J215" s="8" t="s">
        <v>456</v>
      </c>
      <c r="K215" s="8" t="s">
        <v>407</v>
      </c>
      <c r="L215" s="8" t="s">
        <v>415</v>
      </c>
      <c r="M215" s="8" t="s">
        <v>332</v>
      </c>
      <c r="N215" s="8">
        <v>13</v>
      </c>
      <c r="O215" s="8" t="s">
        <v>429</v>
      </c>
      <c r="P215" s="8" t="s">
        <v>27</v>
      </c>
      <c r="Q215" s="10" t="s">
        <v>940</v>
      </c>
      <c r="R215" s="11">
        <v>45661417</v>
      </c>
      <c r="S215" s="11">
        <v>695700</v>
      </c>
      <c r="T215" s="11">
        <v>41856299</v>
      </c>
      <c r="U215" s="11">
        <v>57990000</v>
      </c>
      <c r="V215" s="12" t="s">
        <v>411</v>
      </c>
      <c r="W215" s="11">
        <v>52191000</v>
      </c>
      <c r="X215" s="11">
        <v>388122</v>
      </c>
      <c r="Y215" s="11">
        <v>0</v>
      </c>
      <c r="Z215" s="1">
        <f>+X215/R215</f>
        <v>8.4999990254354136E-3</v>
      </c>
      <c r="AA215" s="13"/>
      <c r="AB215" s="10" t="s">
        <v>412</v>
      </c>
    </row>
    <row r="216" spans="1:28" ht="15.75" customHeight="1" x14ac:dyDescent="0.25">
      <c r="A216" s="8" t="s">
        <v>401</v>
      </c>
      <c r="B216" s="8" t="s">
        <v>402</v>
      </c>
      <c r="C216" s="9" t="s">
        <v>403</v>
      </c>
      <c r="D216" s="8" t="s">
        <v>8</v>
      </c>
      <c r="E216" s="8" t="s">
        <v>324</v>
      </c>
      <c r="F216" s="8">
        <v>967</v>
      </c>
      <c r="G216" s="8" t="s">
        <v>496</v>
      </c>
      <c r="H216" s="8">
        <v>27023594</v>
      </c>
      <c r="I216" s="8" t="s">
        <v>941</v>
      </c>
      <c r="J216" s="8" t="s">
        <v>456</v>
      </c>
      <c r="K216" s="8" t="s">
        <v>407</v>
      </c>
      <c r="L216" s="8" t="s">
        <v>415</v>
      </c>
      <c r="M216" s="8" t="s">
        <v>334</v>
      </c>
      <c r="N216" s="8">
        <v>13</v>
      </c>
      <c r="O216" s="8" t="s">
        <v>458</v>
      </c>
      <c r="P216" s="8" t="s">
        <v>43</v>
      </c>
      <c r="Q216" s="10" t="s">
        <v>942</v>
      </c>
      <c r="R216" s="11">
        <v>51763780</v>
      </c>
      <c r="S216" s="11">
        <v>695700</v>
      </c>
      <c r="T216" s="11">
        <v>46908793</v>
      </c>
      <c r="U216" s="11">
        <v>65740001</v>
      </c>
      <c r="V216" s="12" t="s">
        <v>417</v>
      </c>
      <c r="W216" s="11">
        <v>0</v>
      </c>
      <c r="X216" s="11">
        <v>439992</v>
      </c>
      <c r="Y216" s="11">
        <f>+X216</f>
        <v>439992</v>
      </c>
      <c r="Z216" s="1">
        <f>+X216/R216</f>
        <v>8.4999974885914438E-3</v>
      </c>
      <c r="AA216" s="13"/>
      <c r="AB216" s="10" t="s">
        <v>412</v>
      </c>
    </row>
    <row r="217" spans="1:28" ht="15.75" customHeight="1" x14ac:dyDescent="0.25">
      <c r="A217" s="8" t="s">
        <v>401</v>
      </c>
      <c r="B217" s="8" t="s">
        <v>402</v>
      </c>
      <c r="C217" s="9" t="s">
        <v>403</v>
      </c>
      <c r="D217" s="8" t="s">
        <v>8</v>
      </c>
      <c r="E217" s="8" t="s">
        <v>324</v>
      </c>
      <c r="F217" s="8">
        <v>967</v>
      </c>
      <c r="G217" s="8" t="s">
        <v>577</v>
      </c>
      <c r="H217" s="8">
        <v>26997665</v>
      </c>
      <c r="I217" s="8" t="s">
        <v>943</v>
      </c>
      <c r="J217" s="8" t="s">
        <v>456</v>
      </c>
      <c r="K217" s="8" t="s">
        <v>407</v>
      </c>
      <c r="L217" s="8" t="s">
        <v>415</v>
      </c>
      <c r="M217" s="8" t="s">
        <v>333</v>
      </c>
      <c r="N217" s="8">
        <v>13</v>
      </c>
      <c r="O217" s="8" t="s">
        <v>458</v>
      </c>
      <c r="P217" s="8" t="s">
        <v>43</v>
      </c>
      <c r="Q217" s="10" t="s">
        <v>944</v>
      </c>
      <c r="R217" s="11">
        <v>51763780</v>
      </c>
      <c r="S217" s="11">
        <v>695700</v>
      </c>
      <c r="T217" s="11">
        <v>46908793</v>
      </c>
      <c r="U217" s="11">
        <v>65740001</v>
      </c>
      <c r="V217" s="12" t="s">
        <v>417</v>
      </c>
      <c r="W217" s="11">
        <v>58454364</v>
      </c>
      <c r="X217" s="11">
        <v>439992</v>
      </c>
      <c r="Y217" s="11">
        <v>0</v>
      </c>
      <c r="Z217" s="1">
        <f>+X217/R217</f>
        <v>8.4999974885914438E-3</v>
      </c>
      <c r="AA217" s="13"/>
      <c r="AB217" s="10" t="s">
        <v>412</v>
      </c>
    </row>
    <row r="218" spans="1:28" ht="15.75" customHeight="1" x14ac:dyDescent="0.25">
      <c r="A218" s="8" t="s">
        <v>401</v>
      </c>
      <c r="B218" s="8" t="s">
        <v>402</v>
      </c>
      <c r="C218" s="9" t="s">
        <v>403</v>
      </c>
      <c r="D218" s="8" t="s">
        <v>8</v>
      </c>
      <c r="E218" s="8" t="s">
        <v>324</v>
      </c>
      <c r="F218" s="8">
        <v>967</v>
      </c>
      <c r="G218" s="8" t="s">
        <v>597</v>
      </c>
      <c r="H218" s="8">
        <v>27049145</v>
      </c>
      <c r="I218" s="8" t="s">
        <v>945</v>
      </c>
      <c r="J218" s="8" t="s">
        <v>406</v>
      </c>
      <c r="K218" s="8" t="s">
        <v>407</v>
      </c>
      <c r="L218" s="8" t="s">
        <v>428</v>
      </c>
      <c r="M218" s="8" t="s">
        <v>337</v>
      </c>
      <c r="N218" s="8">
        <v>13</v>
      </c>
      <c r="O218" s="8" t="s">
        <v>435</v>
      </c>
      <c r="P218" s="8" t="s">
        <v>32</v>
      </c>
      <c r="Q218" s="10" t="s">
        <v>946</v>
      </c>
      <c r="R218" s="11">
        <v>84759115</v>
      </c>
      <c r="S218" s="11">
        <v>712800</v>
      </c>
      <c r="T218" s="11">
        <v>85995047</v>
      </c>
      <c r="U218" s="11">
        <v>95777800</v>
      </c>
      <c r="V218" s="12" t="s">
        <v>947</v>
      </c>
      <c r="W218" s="11">
        <v>0</v>
      </c>
      <c r="X218" s="11">
        <v>720452</v>
      </c>
      <c r="Y218" s="11">
        <f t="shared" ref="Y218:Y219" si="30">X218</f>
        <v>720452</v>
      </c>
      <c r="Z218" s="1">
        <f>+X218/R218</f>
        <v>8.499994366387615E-3</v>
      </c>
      <c r="AA218" s="13"/>
      <c r="AB218" s="10" t="s">
        <v>412</v>
      </c>
    </row>
    <row r="219" spans="1:28" ht="15.75" customHeight="1" x14ac:dyDescent="0.25">
      <c r="A219" s="8" t="s">
        <v>401</v>
      </c>
      <c r="B219" s="8" t="s">
        <v>402</v>
      </c>
      <c r="C219" s="9" t="s">
        <v>403</v>
      </c>
      <c r="D219" s="8" t="s">
        <v>8</v>
      </c>
      <c r="E219" s="8" t="s">
        <v>324</v>
      </c>
      <c r="F219" s="8">
        <v>967</v>
      </c>
      <c r="G219" s="8" t="s">
        <v>464</v>
      </c>
      <c r="H219" s="8">
        <v>27071498</v>
      </c>
      <c r="I219" s="8" t="s">
        <v>948</v>
      </c>
      <c r="J219" s="8" t="s">
        <v>457</v>
      </c>
      <c r="K219" s="8" t="s">
        <v>407</v>
      </c>
      <c r="L219" s="8" t="s">
        <v>408</v>
      </c>
      <c r="M219" s="8" t="s">
        <v>335</v>
      </c>
      <c r="N219" s="8">
        <v>13</v>
      </c>
      <c r="O219" s="8" t="s">
        <v>441</v>
      </c>
      <c r="P219" s="8" t="s">
        <v>30</v>
      </c>
      <c r="Q219" s="10" t="s">
        <v>949</v>
      </c>
      <c r="R219" s="11">
        <v>133765664</v>
      </c>
      <c r="S219" s="11">
        <v>849600</v>
      </c>
      <c r="T219" s="11">
        <v>127425664</v>
      </c>
      <c r="U219" s="11">
        <v>151155200</v>
      </c>
      <c r="V219" s="12" t="s">
        <v>471</v>
      </c>
      <c r="W219" s="11">
        <v>0</v>
      </c>
      <c r="X219" s="11">
        <v>1137008</v>
      </c>
      <c r="Y219" s="11">
        <f t="shared" si="30"/>
        <v>1137008</v>
      </c>
      <c r="Z219" s="1">
        <f>+X219/R219</f>
        <v>8.49999892349056E-3</v>
      </c>
      <c r="AA219" s="13"/>
      <c r="AB219" s="10" t="s">
        <v>412</v>
      </c>
    </row>
    <row r="220" spans="1:28" ht="15.75" customHeight="1" x14ac:dyDescent="0.25">
      <c r="A220" s="8" t="s">
        <v>401</v>
      </c>
      <c r="B220" s="8" t="s">
        <v>402</v>
      </c>
      <c r="C220" s="9" t="s">
        <v>403</v>
      </c>
      <c r="D220" s="8" t="s">
        <v>8</v>
      </c>
      <c r="E220" s="8" t="s">
        <v>324</v>
      </c>
      <c r="F220" s="8">
        <v>967</v>
      </c>
      <c r="G220" s="8" t="s">
        <v>404</v>
      </c>
      <c r="H220" s="8">
        <v>27029980</v>
      </c>
      <c r="I220" s="8" t="s">
        <v>950</v>
      </c>
      <c r="J220" s="8" t="s">
        <v>798</v>
      </c>
      <c r="K220" s="8" t="s">
        <v>609</v>
      </c>
      <c r="L220" s="8" t="s">
        <v>490</v>
      </c>
      <c r="M220" s="8" t="s">
        <v>336</v>
      </c>
      <c r="N220" s="8">
        <v>13</v>
      </c>
      <c r="O220" s="8" t="s">
        <v>568</v>
      </c>
      <c r="P220" s="8" t="s">
        <v>101</v>
      </c>
      <c r="Q220" s="10" t="s">
        <v>951</v>
      </c>
      <c r="R220" s="11">
        <v>158619469</v>
      </c>
      <c r="S220" s="11">
        <v>1686300</v>
      </c>
      <c r="T220" s="11">
        <v>141761947</v>
      </c>
      <c r="U220" s="11">
        <v>179240000</v>
      </c>
      <c r="V220" s="12" t="s">
        <v>576</v>
      </c>
      <c r="W220" s="11">
        <v>0</v>
      </c>
      <c r="X220" s="11">
        <v>1348265</v>
      </c>
      <c r="Y220" s="11">
        <f>+X220</f>
        <v>1348265</v>
      </c>
      <c r="Z220" s="1">
        <f>+X220/R220</f>
        <v>8.4999969329111798E-3</v>
      </c>
      <c r="AA220" s="13"/>
      <c r="AB220" s="10" t="s">
        <v>412</v>
      </c>
    </row>
    <row r="221" spans="1:28" ht="15.75" customHeight="1" x14ac:dyDescent="0.25">
      <c r="A221" s="8" t="s">
        <v>401</v>
      </c>
      <c r="B221" s="8" t="s">
        <v>402</v>
      </c>
      <c r="C221" s="9" t="s">
        <v>403</v>
      </c>
      <c r="D221" s="8" t="s">
        <v>8</v>
      </c>
      <c r="E221" s="8" t="s">
        <v>339</v>
      </c>
      <c r="F221" s="8">
        <v>824</v>
      </c>
      <c r="G221" s="8" t="s">
        <v>404</v>
      </c>
      <c r="H221" s="8">
        <v>27076962</v>
      </c>
      <c r="I221" s="8" t="s">
        <v>952</v>
      </c>
      <c r="J221" s="8" t="s">
        <v>414</v>
      </c>
      <c r="K221" s="8" t="s">
        <v>407</v>
      </c>
      <c r="L221" s="8" t="s">
        <v>408</v>
      </c>
      <c r="M221" s="8" t="s">
        <v>342</v>
      </c>
      <c r="N221" s="8">
        <v>9</v>
      </c>
      <c r="O221" s="8" t="s">
        <v>424</v>
      </c>
      <c r="P221" s="8" t="s">
        <v>25</v>
      </c>
      <c r="Q221" s="10" t="s">
        <v>953</v>
      </c>
      <c r="R221" s="11">
        <v>81594646</v>
      </c>
      <c r="S221" s="11">
        <v>1431000</v>
      </c>
      <c r="T221" s="11">
        <v>76151969</v>
      </c>
      <c r="U221" s="11">
        <v>103625200</v>
      </c>
      <c r="V221" s="12" t="s">
        <v>463</v>
      </c>
      <c r="W221" s="11">
        <v>0</v>
      </c>
      <c r="X221" s="11">
        <v>693554</v>
      </c>
      <c r="Y221" s="11">
        <f>X221</f>
        <v>693554</v>
      </c>
      <c r="Z221" s="1">
        <f>+X221/R221</f>
        <v>8.4999939824483093E-3</v>
      </c>
      <c r="AA221" s="13"/>
      <c r="AB221" s="10" t="s">
        <v>412</v>
      </c>
    </row>
    <row r="222" spans="1:28" ht="15.75" customHeight="1" x14ac:dyDescent="0.25">
      <c r="A222" s="8" t="s">
        <v>401</v>
      </c>
      <c r="B222" s="8" t="s">
        <v>402</v>
      </c>
      <c r="C222" s="9" t="s">
        <v>403</v>
      </c>
      <c r="D222" s="8" t="s">
        <v>8</v>
      </c>
      <c r="E222" s="8" t="s">
        <v>339</v>
      </c>
      <c r="F222" s="8">
        <v>824</v>
      </c>
      <c r="G222" s="8" t="s">
        <v>404</v>
      </c>
      <c r="H222" s="8">
        <v>27072259</v>
      </c>
      <c r="I222" s="8" t="s">
        <v>954</v>
      </c>
      <c r="J222" s="8" t="s">
        <v>414</v>
      </c>
      <c r="K222" s="8" t="s">
        <v>407</v>
      </c>
      <c r="L222" s="8" t="s">
        <v>415</v>
      </c>
      <c r="M222" s="8" t="s">
        <v>340</v>
      </c>
      <c r="N222" s="8">
        <v>9</v>
      </c>
      <c r="O222" s="8" t="s">
        <v>466</v>
      </c>
      <c r="P222" s="8" t="s">
        <v>51</v>
      </c>
      <c r="Q222" s="10" t="s">
        <v>955</v>
      </c>
      <c r="R222" s="11">
        <v>62496220</v>
      </c>
      <c r="S222" s="11">
        <v>1464000</v>
      </c>
      <c r="T222" s="11">
        <v>58107349</v>
      </c>
      <c r="U222" s="11">
        <v>79370199</v>
      </c>
      <c r="V222" s="12" t="s">
        <v>463</v>
      </c>
      <c r="W222" s="11">
        <v>79370199</v>
      </c>
      <c r="X222" s="11">
        <v>531218</v>
      </c>
      <c r="Y222" s="11">
        <v>0</v>
      </c>
      <c r="Z222" s="1">
        <f>+X222/R222</f>
        <v>8.5000020801258066E-3</v>
      </c>
      <c r="AA222" s="13"/>
      <c r="AB222" s="10" t="s">
        <v>412</v>
      </c>
    </row>
    <row r="223" spans="1:28" ht="15.75" customHeight="1" x14ac:dyDescent="0.25">
      <c r="A223" s="8" t="s">
        <v>401</v>
      </c>
      <c r="B223" s="8" t="s">
        <v>402</v>
      </c>
      <c r="C223" s="9" t="s">
        <v>403</v>
      </c>
      <c r="D223" s="8" t="s">
        <v>8</v>
      </c>
      <c r="E223" s="8" t="s">
        <v>339</v>
      </c>
      <c r="F223" s="8">
        <v>824</v>
      </c>
      <c r="G223" s="8" t="s">
        <v>404</v>
      </c>
      <c r="H223" s="8">
        <v>27078192</v>
      </c>
      <c r="I223" s="8" t="s">
        <v>956</v>
      </c>
      <c r="J223" s="8" t="s">
        <v>457</v>
      </c>
      <c r="K223" s="8" t="s">
        <v>407</v>
      </c>
      <c r="L223" s="8" t="s">
        <v>408</v>
      </c>
      <c r="M223" s="8" t="s">
        <v>341</v>
      </c>
      <c r="N223" s="8">
        <v>9</v>
      </c>
      <c r="O223" s="8" t="s">
        <v>499</v>
      </c>
      <c r="P223" s="8" t="s">
        <v>66</v>
      </c>
      <c r="Q223" s="10" t="s">
        <v>957</v>
      </c>
      <c r="R223" s="11">
        <v>73878110</v>
      </c>
      <c r="S223" s="11">
        <v>1464000</v>
      </c>
      <c r="T223" s="11">
        <v>68212336</v>
      </c>
      <c r="U223" s="11">
        <v>93825200</v>
      </c>
      <c r="V223" s="12" t="s">
        <v>411</v>
      </c>
      <c r="W223" s="11">
        <v>93825200</v>
      </c>
      <c r="X223" s="11">
        <v>627964</v>
      </c>
      <c r="Y223" s="11">
        <v>0</v>
      </c>
      <c r="Z223" s="1">
        <f>+X223/R223</f>
        <v>8.5000008798275968E-3</v>
      </c>
      <c r="AA223" s="13"/>
      <c r="AB223" s="10" t="s">
        <v>412</v>
      </c>
    </row>
    <row r="224" spans="1:28" ht="15.75" customHeight="1" x14ac:dyDescent="0.25">
      <c r="A224" s="8" t="s">
        <v>401</v>
      </c>
      <c r="B224" s="8" t="s">
        <v>402</v>
      </c>
      <c r="C224" s="9" t="s">
        <v>403</v>
      </c>
      <c r="D224" s="8" t="s">
        <v>8</v>
      </c>
      <c r="E224" s="8" t="s">
        <v>339</v>
      </c>
      <c r="F224" s="8">
        <v>824</v>
      </c>
      <c r="G224" s="8" t="s">
        <v>404</v>
      </c>
      <c r="H224" s="8">
        <v>27071634</v>
      </c>
      <c r="I224" s="8" t="s">
        <v>958</v>
      </c>
      <c r="J224" s="8" t="s">
        <v>428</v>
      </c>
      <c r="K224" s="8" t="s">
        <v>407</v>
      </c>
      <c r="L224" s="8" t="s">
        <v>415</v>
      </c>
      <c r="M224" s="8" t="s">
        <v>344</v>
      </c>
      <c r="N224" s="8">
        <v>9</v>
      </c>
      <c r="O224" s="8" t="s">
        <v>429</v>
      </c>
      <c r="P224" s="8" t="s">
        <v>27</v>
      </c>
      <c r="Q224" s="10" t="s">
        <v>959</v>
      </c>
      <c r="R224" s="11">
        <v>45661417</v>
      </c>
      <c r="S224" s="11">
        <v>695700</v>
      </c>
      <c r="T224" s="11">
        <v>41856299</v>
      </c>
      <c r="U224" s="11">
        <v>57990000</v>
      </c>
      <c r="V224" s="12" t="s">
        <v>411</v>
      </c>
      <c r="W224" s="11">
        <v>0</v>
      </c>
      <c r="X224" s="11">
        <v>388122</v>
      </c>
      <c r="Y224" s="11">
        <f>+X224</f>
        <v>388122</v>
      </c>
      <c r="Z224" s="1">
        <f>+X224/R224</f>
        <v>8.4999990254354136E-3</v>
      </c>
      <c r="AA224" s="13"/>
      <c r="AB224" s="10" t="s">
        <v>412</v>
      </c>
    </row>
    <row r="225" spans="1:28" ht="15.75" customHeight="1" x14ac:dyDescent="0.25">
      <c r="A225" s="8" t="s">
        <v>401</v>
      </c>
      <c r="B225" s="8" t="s">
        <v>402</v>
      </c>
      <c r="C225" s="9" t="s">
        <v>403</v>
      </c>
      <c r="D225" s="8" t="s">
        <v>8</v>
      </c>
      <c r="E225" s="8" t="s">
        <v>339</v>
      </c>
      <c r="F225" s="8">
        <v>824</v>
      </c>
      <c r="G225" s="8" t="s">
        <v>404</v>
      </c>
      <c r="H225" s="8">
        <v>26971190</v>
      </c>
      <c r="I225" s="8" t="s">
        <v>960</v>
      </c>
      <c r="J225" s="8" t="s">
        <v>456</v>
      </c>
      <c r="K225" s="8" t="s">
        <v>407</v>
      </c>
      <c r="L225" s="8" t="s">
        <v>415</v>
      </c>
      <c r="M225" s="8" t="s">
        <v>345</v>
      </c>
      <c r="N225" s="8">
        <v>9</v>
      </c>
      <c r="O225" s="8" t="s">
        <v>458</v>
      </c>
      <c r="P225" s="8" t="s">
        <v>43</v>
      </c>
      <c r="Q225" s="10" t="s">
        <v>961</v>
      </c>
      <c r="R225" s="11">
        <v>51763780</v>
      </c>
      <c r="S225" s="11">
        <v>695700</v>
      </c>
      <c r="T225" s="11">
        <v>46908793</v>
      </c>
      <c r="U225" s="11">
        <v>65740001</v>
      </c>
      <c r="V225" s="12" t="s">
        <v>417</v>
      </c>
      <c r="W225" s="11">
        <v>16493001</v>
      </c>
      <c r="X225" s="11">
        <v>439992</v>
      </c>
      <c r="Y225" s="11">
        <v>0</v>
      </c>
      <c r="Z225" s="1">
        <f>+X225/R225</f>
        <v>8.4999974885914438E-3</v>
      </c>
      <c r="AA225" s="13"/>
      <c r="AB225" s="10" t="s">
        <v>412</v>
      </c>
    </row>
    <row r="226" spans="1:28" ht="15.75" customHeight="1" x14ac:dyDescent="0.25">
      <c r="A226" s="8" t="s">
        <v>401</v>
      </c>
      <c r="B226" s="8" t="s">
        <v>402</v>
      </c>
      <c r="C226" s="9" t="s">
        <v>403</v>
      </c>
      <c r="D226" s="8" t="s">
        <v>8</v>
      </c>
      <c r="E226" s="8" t="s">
        <v>339</v>
      </c>
      <c r="F226" s="8">
        <v>824</v>
      </c>
      <c r="G226" s="8" t="s">
        <v>404</v>
      </c>
      <c r="H226" s="8">
        <v>27047544</v>
      </c>
      <c r="I226" s="8" t="s">
        <v>962</v>
      </c>
      <c r="J226" s="8" t="s">
        <v>489</v>
      </c>
      <c r="K226" s="8" t="s">
        <v>423</v>
      </c>
      <c r="L226" s="8" t="s">
        <v>434</v>
      </c>
      <c r="M226" s="8" t="s">
        <v>343</v>
      </c>
      <c r="N226" s="8">
        <v>9</v>
      </c>
      <c r="O226" s="8" t="s">
        <v>512</v>
      </c>
      <c r="P226" s="8" t="s">
        <v>68</v>
      </c>
      <c r="Q226" s="10" t="s">
        <v>963</v>
      </c>
      <c r="R226" s="11">
        <v>125960354</v>
      </c>
      <c r="S226" s="11">
        <v>714000</v>
      </c>
      <c r="T226" s="11">
        <v>124239823</v>
      </c>
      <c r="U226" s="11">
        <v>142335200</v>
      </c>
      <c r="V226" s="12" t="s">
        <v>437</v>
      </c>
      <c r="W226" s="11">
        <v>0</v>
      </c>
      <c r="X226" s="11">
        <v>1070663</v>
      </c>
      <c r="Y226" s="11">
        <f>+X226</f>
        <v>1070663</v>
      </c>
      <c r="Z226" s="1">
        <f>+X226/R226</f>
        <v>8.4999999285489472E-3</v>
      </c>
      <c r="AA226" s="13"/>
      <c r="AB226" s="10" t="s">
        <v>412</v>
      </c>
    </row>
    <row r="227" spans="1:28" ht="15.75" customHeight="1" x14ac:dyDescent="0.25">
      <c r="A227" s="8" t="s">
        <v>401</v>
      </c>
      <c r="B227" s="8" t="s">
        <v>402</v>
      </c>
      <c r="C227" s="9" t="s">
        <v>403</v>
      </c>
      <c r="D227" s="8" t="s">
        <v>8</v>
      </c>
      <c r="E227" s="8" t="s">
        <v>339</v>
      </c>
      <c r="F227" s="8">
        <v>824</v>
      </c>
      <c r="G227" s="8" t="s">
        <v>404</v>
      </c>
      <c r="H227" s="8">
        <v>27077783</v>
      </c>
      <c r="I227" s="8" t="s">
        <v>964</v>
      </c>
      <c r="J227" s="8" t="s">
        <v>457</v>
      </c>
      <c r="K227" s="8" t="s">
        <v>407</v>
      </c>
      <c r="L227" s="8" t="s">
        <v>408</v>
      </c>
      <c r="M227" s="8" t="s">
        <v>348</v>
      </c>
      <c r="N227" s="8">
        <v>9</v>
      </c>
      <c r="O227" s="8" t="s">
        <v>564</v>
      </c>
      <c r="P227" s="8" t="s">
        <v>103</v>
      </c>
      <c r="Q227" s="10" t="s">
        <v>965</v>
      </c>
      <c r="R227" s="11">
        <v>82070796</v>
      </c>
      <c r="S227" s="11">
        <v>985600</v>
      </c>
      <c r="T227" s="11">
        <v>79564910</v>
      </c>
      <c r="U227" s="11">
        <v>92739999</v>
      </c>
      <c r="V227" s="12" t="s">
        <v>561</v>
      </c>
      <c r="W227" s="11">
        <v>0</v>
      </c>
      <c r="X227" s="11">
        <v>697602</v>
      </c>
      <c r="Y227" s="11">
        <f>X227</f>
        <v>697602</v>
      </c>
      <c r="Z227" s="1">
        <f>+X227/R227</f>
        <v>8.5000028511969111E-3</v>
      </c>
      <c r="AA227" s="13"/>
      <c r="AB227" s="10" t="s">
        <v>412</v>
      </c>
    </row>
    <row r="228" spans="1:28" ht="15.75" customHeight="1" x14ac:dyDescent="0.25">
      <c r="A228" s="8" t="s">
        <v>401</v>
      </c>
      <c r="B228" s="8" t="s">
        <v>402</v>
      </c>
      <c r="C228" s="9" t="s">
        <v>403</v>
      </c>
      <c r="D228" s="8" t="s">
        <v>8</v>
      </c>
      <c r="E228" s="8" t="s">
        <v>339</v>
      </c>
      <c r="F228" s="8">
        <v>824</v>
      </c>
      <c r="G228" s="8" t="s">
        <v>510</v>
      </c>
      <c r="H228" s="8">
        <v>27036161</v>
      </c>
      <c r="I228" s="8" t="s">
        <v>966</v>
      </c>
      <c r="J228" s="8" t="s">
        <v>489</v>
      </c>
      <c r="K228" s="8" t="s">
        <v>457</v>
      </c>
      <c r="L228" s="8" t="s">
        <v>456</v>
      </c>
      <c r="M228" s="8" t="s">
        <v>347</v>
      </c>
      <c r="N228" s="8">
        <v>9</v>
      </c>
      <c r="O228" s="8" t="s">
        <v>441</v>
      </c>
      <c r="P228" s="8" t="s">
        <v>30</v>
      </c>
      <c r="Q228" s="10" t="s">
        <v>967</v>
      </c>
      <c r="R228" s="11">
        <v>136495575</v>
      </c>
      <c r="S228" s="11">
        <v>1679600</v>
      </c>
      <c r="T228" s="11">
        <v>127425664</v>
      </c>
      <c r="U228" s="11">
        <v>154240000</v>
      </c>
      <c r="V228" s="12" t="s">
        <v>463</v>
      </c>
      <c r="W228" s="11">
        <v>0</v>
      </c>
      <c r="X228" s="11">
        <v>1160212</v>
      </c>
      <c r="Y228" s="11">
        <f>+X228</f>
        <v>1160212</v>
      </c>
      <c r="Z228" s="1">
        <f>+X228/R228</f>
        <v>8.4999971610801306E-3</v>
      </c>
      <c r="AA228" s="13"/>
      <c r="AB228" s="10" t="s">
        <v>412</v>
      </c>
    </row>
    <row r="229" spans="1:28" ht="15.75" customHeight="1" x14ac:dyDescent="0.25">
      <c r="A229" s="8" t="s">
        <v>401</v>
      </c>
      <c r="B229" s="8" t="s">
        <v>402</v>
      </c>
      <c r="C229" s="9" t="s">
        <v>403</v>
      </c>
      <c r="D229" s="8" t="s">
        <v>8</v>
      </c>
      <c r="E229" s="8" t="s">
        <v>339</v>
      </c>
      <c r="F229" s="8">
        <v>824</v>
      </c>
      <c r="G229" s="8" t="s">
        <v>505</v>
      </c>
      <c r="H229" s="8">
        <v>27049852</v>
      </c>
      <c r="I229" s="8" t="s">
        <v>968</v>
      </c>
      <c r="J229" s="8" t="s">
        <v>439</v>
      </c>
      <c r="K229" s="8" t="s">
        <v>407</v>
      </c>
      <c r="L229" s="8" t="s">
        <v>422</v>
      </c>
      <c r="M229" s="8" t="s">
        <v>346</v>
      </c>
      <c r="N229" s="8">
        <v>9</v>
      </c>
      <c r="O229" s="8" t="s">
        <v>461</v>
      </c>
      <c r="P229" s="8" t="s">
        <v>45</v>
      </c>
      <c r="Q229" s="10" t="s">
        <v>969</v>
      </c>
      <c r="R229" s="11">
        <v>72236220</v>
      </c>
      <c r="S229" s="11">
        <v>1895600</v>
      </c>
      <c r="T229" s="11">
        <v>64953412</v>
      </c>
      <c r="U229" s="11">
        <v>91739999</v>
      </c>
      <c r="V229" s="12" t="s">
        <v>554</v>
      </c>
      <c r="W229" s="11">
        <v>0</v>
      </c>
      <c r="X229" s="11">
        <v>614008</v>
      </c>
      <c r="Y229" s="11">
        <f>X229</f>
        <v>614008</v>
      </c>
      <c r="Z229" s="1">
        <f>+X229/R229</f>
        <v>8.5000017996511995E-3</v>
      </c>
      <c r="AA229" s="13"/>
      <c r="AB229" s="10" t="s">
        <v>412</v>
      </c>
    </row>
    <row r="230" spans="1:28" ht="15.75" customHeight="1" x14ac:dyDescent="0.25">
      <c r="A230" s="8" t="s">
        <v>401</v>
      </c>
      <c r="B230" s="8" t="s">
        <v>402</v>
      </c>
      <c r="C230" s="9" t="s">
        <v>970</v>
      </c>
      <c r="D230" s="8" t="s">
        <v>9</v>
      </c>
      <c r="E230" s="8" t="s">
        <v>203</v>
      </c>
      <c r="F230" s="8">
        <v>867</v>
      </c>
      <c r="G230" s="8" t="s">
        <v>496</v>
      </c>
      <c r="H230" s="8">
        <v>27024281</v>
      </c>
      <c r="I230" s="8" t="s">
        <v>971</v>
      </c>
      <c r="J230" s="8" t="s">
        <v>798</v>
      </c>
      <c r="K230" s="8" t="s">
        <v>407</v>
      </c>
      <c r="L230" s="8" t="s">
        <v>415</v>
      </c>
      <c r="M230" s="8" t="s">
        <v>352</v>
      </c>
      <c r="N230" s="8">
        <v>9</v>
      </c>
      <c r="O230" s="8" t="s">
        <v>972</v>
      </c>
      <c r="P230" s="8" t="s">
        <v>351</v>
      </c>
      <c r="Q230" s="10" t="s">
        <v>973</v>
      </c>
      <c r="R230" s="11">
        <v>96630252</v>
      </c>
      <c r="S230" s="11">
        <v>600000</v>
      </c>
      <c r="T230" s="11">
        <v>86277011</v>
      </c>
      <c r="U230" s="11">
        <v>114990000</v>
      </c>
      <c r="V230" s="12" t="s">
        <v>554</v>
      </c>
      <c r="W230" s="11">
        <v>0</v>
      </c>
      <c r="X230" s="11">
        <f>+R230*0.85%</f>
        <v>821357.14200000011</v>
      </c>
      <c r="Y230" s="11">
        <f t="shared" ref="Y230:Y231" si="31">+X230</f>
        <v>821357.14200000011</v>
      </c>
      <c r="Z230" s="1">
        <f>+X230/R230</f>
        <v>8.5000000000000006E-3</v>
      </c>
      <c r="AA230" s="13"/>
      <c r="AB230" s="10" t="s">
        <v>412</v>
      </c>
    </row>
    <row r="231" spans="1:28" ht="15.75" customHeight="1" x14ac:dyDescent="0.25">
      <c r="A231" s="8" t="s">
        <v>401</v>
      </c>
      <c r="B231" s="8" t="s">
        <v>402</v>
      </c>
      <c r="C231" s="9" t="s">
        <v>534</v>
      </c>
      <c r="D231" s="8" t="s">
        <v>10</v>
      </c>
      <c r="E231" s="8" t="s">
        <v>354</v>
      </c>
      <c r="F231" s="8">
        <v>947</v>
      </c>
      <c r="G231" s="8" t="s">
        <v>404</v>
      </c>
      <c r="H231" s="8">
        <v>27029044</v>
      </c>
      <c r="I231" s="8" t="s">
        <v>974</v>
      </c>
      <c r="J231" s="8" t="s">
        <v>541</v>
      </c>
      <c r="K231" s="8" t="s">
        <v>428</v>
      </c>
      <c r="L231" s="8" t="s">
        <v>456</v>
      </c>
      <c r="M231" s="8" t="s">
        <v>355</v>
      </c>
      <c r="N231" s="8">
        <v>2</v>
      </c>
      <c r="O231" s="8" t="s">
        <v>536</v>
      </c>
      <c r="P231" s="8" t="s">
        <v>89</v>
      </c>
      <c r="Q231" s="10" t="s">
        <v>975</v>
      </c>
      <c r="R231" s="11">
        <v>89606299</v>
      </c>
      <c r="S231" s="11">
        <v>83000</v>
      </c>
      <c r="T231" s="11">
        <v>83302756</v>
      </c>
      <c r="U231" s="11">
        <v>113800000</v>
      </c>
      <c r="V231" s="12" t="s">
        <v>463</v>
      </c>
      <c r="W231" s="11">
        <v>0</v>
      </c>
      <c r="X231" s="11">
        <v>896063</v>
      </c>
      <c r="Y231" s="11">
        <f t="shared" si="31"/>
        <v>896063</v>
      </c>
      <c r="Z231" s="1">
        <f>+X231/R231</f>
        <v>1.0000000111599298E-2</v>
      </c>
      <c r="AA231" s="13"/>
      <c r="AB231" s="10" t="s">
        <v>412</v>
      </c>
    </row>
    <row r="232" spans="1:28" ht="15.75" customHeight="1" x14ac:dyDescent="0.25">
      <c r="A232" s="8" t="s">
        <v>401</v>
      </c>
      <c r="B232" s="8" t="s">
        <v>402</v>
      </c>
      <c r="C232" s="9" t="s">
        <v>534</v>
      </c>
      <c r="D232" s="8" t="s">
        <v>10</v>
      </c>
      <c r="E232" s="8" t="s">
        <v>354</v>
      </c>
      <c r="F232" s="8">
        <v>947</v>
      </c>
      <c r="G232" s="8" t="s">
        <v>496</v>
      </c>
      <c r="H232" s="8">
        <v>27063197</v>
      </c>
      <c r="I232" s="8" t="s">
        <v>976</v>
      </c>
      <c r="J232" s="8" t="s">
        <v>457</v>
      </c>
      <c r="K232" s="8" t="s">
        <v>407</v>
      </c>
      <c r="L232" s="8" t="s">
        <v>408</v>
      </c>
      <c r="M232" s="8" t="s">
        <v>356</v>
      </c>
      <c r="N232" s="8">
        <v>2</v>
      </c>
      <c r="O232" s="8" t="s">
        <v>536</v>
      </c>
      <c r="P232" s="8" t="s">
        <v>89</v>
      </c>
      <c r="Q232" s="10" t="s">
        <v>977</v>
      </c>
      <c r="R232" s="11">
        <v>92047244</v>
      </c>
      <c r="S232" s="11">
        <v>1618000</v>
      </c>
      <c r="T232" s="11">
        <v>83302756</v>
      </c>
      <c r="U232" s="11">
        <v>116900000</v>
      </c>
      <c r="V232" s="12" t="s">
        <v>417</v>
      </c>
      <c r="W232" s="11">
        <v>116900000</v>
      </c>
      <c r="X232" s="11">
        <v>920472</v>
      </c>
      <c r="Y232" s="11">
        <v>0</v>
      </c>
      <c r="Z232" s="1">
        <f>+X232/R232</f>
        <v>9.9999952198460175E-3</v>
      </c>
      <c r="AA232" s="13"/>
      <c r="AB232" s="10" t="s">
        <v>412</v>
      </c>
    </row>
    <row r="233" spans="1:28" ht="15.75" customHeight="1" x14ac:dyDescent="0.25">
      <c r="A233" s="8" t="s">
        <v>401</v>
      </c>
      <c r="B233" s="8" t="s">
        <v>402</v>
      </c>
      <c r="C233" s="9" t="s">
        <v>534</v>
      </c>
      <c r="D233" s="8" t="s">
        <v>10</v>
      </c>
      <c r="E233" s="8" t="s">
        <v>358</v>
      </c>
      <c r="F233" s="8">
        <v>911</v>
      </c>
      <c r="G233" s="8" t="s">
        <v>404</v>
      </c>
      <c r="H233" s="8">
        <v>27083722</v>
      </c>
      <c r="I233" s="8" t="s">
        <v>978</v>
      </c>
      <c r="J233" s="8" t="s">
        <v>423</v>
      </c>
      <c r="K233" s="8" t="s">
        <v>407</v>
      </c>
      <c r="L233" s="8" t="s">
        <v>408</v>
      </c>
      <c r="M233" s="8" t="s">
        <v>360</v>
      </c>
      <c r="N233" s="8">
        <v>6</v>
      </c>
      <c r="O233" s="8" t="s">
        <v>979</v>
      </c>
      <c r="P233" s="8" t="s">
        <v>359</v>
      </c>
      <c r="Q233" s="10" t="s">
        <v>980</v>
      </c>
      <c r="R233" s="11">
        <v>155118110</v>
      </c>
      <c r="S233" s="11">
        <v>83000</v>
      </c>
      <c r="T233" s="11">
        <v>150400787</v>
      </c>
      <c r="U233" s="11">
        <v>197000000</v>
      </c>
      <c r="V233" s="12" t="s">
        <v>561</v>
      </c>
      <c r="W233" s="11">
        <v>0</v>
      </c>
      <c r="X233" s="11">
        <v>1551181</v>
      </c>
      <c r="Y233" s="11">
        <f>X233</f>
        <v>1551181</v>
      </c>
      <c r="Z233" s="1">
        <f>+X233/R233</f>
        <v>9.9999993553299485E-3</v>
      </c>
      <c r="AA233" s="13"/>
      <c r="AB233" s="10" t="s">
        <v>412</v>
      </c>
    </row>
    <row r="234" spans="1:28" ht="15.75" customHeight="1" x14ac:dyDescent="0.25">
      <c r="A234" s="8" t="s">
        <v>401</v>
      </c>
      <c r="B234" s="8" t="s">
        <v>402</v>
      </c>
      <c r="C234" s="9" t="s">
        <v>534</v>
      </c>
      <c r="D234" s="8" t="s">
        <v>10</v>
      </c>
      <c r="E234" s="8" t="s">
        <v>358</v>
      </c>
      <c r="F234" s="8">
        <v>911</v>
      </c>
      <c r="G234" s="8" t="s">
        <v>404</v>
      </c>
      <c r="H234" s="8">
        <v>27087479</v>
      </c>
      <c r="I234" s="8" t="s">
        <v>981</v>
      </c>
      <c r="J234" s="8" t="s">
        <v>415</v>
      </c>
      <c r="K234" s="8" t="s">
        <v>407</v>
      </c>
      <c r="L234" s="8" t="s">
        <v>408</v>
      </c>
      <c r="M234" s="8" t="s">
        <v>364</v>
      </c>
      <c r="N234" s="8">
        <v>6</v>
      </c>
      <c r="O234" s="8" t="s">
        <v>536</v>
      </c>
      <c r="P234" s="8" t="s">
        <v>89</v>
      </c>
      <c r="Q234" s="10" t="s">
        <v>982</v>
      </c>
      <c r="R234" s="11">
        <v>92047244</v>
      </c>
      <c r="S234" s="11">
        <v>83000</v>
      </c>
      <c r="T234" s="11">
        <v>83302756</v>
      </c>
      <c r="U234" s="11">
        <v>116900000</v>
      </c>
      <c r="V234" s="12" t="s">
        <v>417</v>
      </c>
      <c r="W234" s="11">
        <v>71000000</v>
      </c>
      <c r="X234" s="11">
        <v>920472</v>
      </c>
      <c r="Y234" s="11">
        <v>0</v>
      </c>
      <c r="Z234" s="1">
        <f>+X234/R234</f>
        <v>9.9999952198460175E-3</v>
      </c>
      <c r="AA234" s="13"/>
      <c r="AB234" s="10" t="s">
        <v>412</v>
      </c>
    </row>
    <row r="235" spans="1:28" ht="15.75" customHeight="1" x14ac:dyDescent="0.25">
      <c r="A235" s="8" t="s">
        <v>401</v>
      </c>
      <c r="B235" s="8" t="s">
        <v>402</v>
      </c>
      <c r="C235" s="9" t="s">
        <v>534</v>
      </c>
      <c r="D235" s="8" t="s">
        <v>10</v>
      </c>
      <c r="E235" s="8" t="s">
        <v>358</v>
      </c>
      <c r="F235" s="8">
        <v>911</v>
      </c>
      <c r="G235" s="8" t="s">
        <v>404</v>
      </c>
      <c r="H235" s="8">
        <v>27066411</v>
      </c>
      <c r="I235" s="8" t="s">
        <v>983</v>
      </c>
      <c r="J235" s="8" t="s">
        <v>457</v>
      </c>
      <c r="K235" s="8" t="s">
        <v>407</v>
      </c>
      <c r="L235" s="8" t="s">
        <v>423</v>
      </c>
      <c r="M235" s="8" t="s">
        <v>362</v>
      </c>
      <c r="N235" s="8">
        <v>6</v>
      </c>
      <c r="O235" s="8" t="s">
        <v>536</v>
      </c>
      <c r="P235" s="8" t="s">
        <v>89</v>
      </c>
      <c r="Q235" s="10" t="s">
        <v>984</v>
      </c>
      <c r="R235" s="11">
        <v>92047244</v>
      </c>
      <c r="S235" s="11">
        <v>83000</v>
      </c>
      <c r="T235" s="11">
        <v>83302756</v>
      </c>
      <c r="U235" s="11">
        <v>116900000</v>
      </c>
      <c r="V235" s="12" t="s">
        <v>417</v>
      </c>
      <c r="W235" s="11">
        <v>67063150</v>
      </c>
      <c r="X235" s="11">
        <v>920472</v>
      </c>
      <c r="Y235" s="11">
        <v>0</v>
      </c>
      <c r="Z235" s="1">
        <f>+X235/R235</f>
        <v>9.9999952198460175E-3</v>
      </c>
      <c r="AA235" s="13"/>
      <c r="AB235" s="10" t="s">
        <v>412</v>
      </c>
    </row>
    <row r="236" spans="1:28" ht="15.75" customHeight="1" x14ac:dyDescent="0.25">
      <c r="A236" s="8" t="s">
        <v>401</v>
      </c>
      <c r="B236" s="8" t="s">
        <v>402</v>
      </c>
      <c r="C236" s="9" t="s">
        <v>534</v>
      </c>
      <c r="D236" s="8" t="s">
        <v>10</v>
      </c>
      <c r="E236" s="8" t="s">
        <v>358</v>
      </c>
      <c r="F236" s="8">
        <v>911</v>
      </c>
      <c r="G236" s="8" t="s">
        <v>404</v>
      </c>
      <c r="H236" s="8">
        <v>27065267</v>
      </c>
      <c r="I236" s="8" t="s">
        <v>985</v>
      </c>
      <c r="J236" s="8" t="s">
        <v>457</v>
      </c>
      <c r="K236" s="8" t="s">
        <v>407</v>
      </c>
      <c r="L236" s="8" t="s">
        <v>423</v>
      </c>
      <c r="M236" s="8" t="s">
        <v>363</v>
      </c>
      <c r="N236" s="8">
        <v>6</v>
      </c>
      <c r="O236" s="8" t="s">
        <v>536</v>
      </c>
      <c r="P236" s="8" t="s">
        <v>89</v>
      </c>
      <c r="Q236" s="10" t="s">
        <v>986</v>
      </c>
      <c r="R236" s="11">
        <v>88110236</v>
      </c>
      <c r="S236" s="11">
        <v>83000</v>
      </c>
      <c r="T236" s="11">
        <v>83302756</v>
      </c>
      <c r="U236" s="11">
        <v>111900000</v>
      </c>
      <c r="V236" s="12" t="s">
        <v>471</v>
      </c>
      <c r="W236" s="11">
        <v>24115200</v>
      </c>
      <c r="X236" s="11">
        <v>881102</v>
      </c>
      <c r="Y236" s="11">
        <v>0</v>
      </c>
      <c r="Z236" s="1">
        <f>+X236/R236</f>
        <v>9.9999959142091054E-3</v>
      </c>
      <c r="AA236" s="13"/>
      <c r="AB236" s="10" t="s">
        <v>412</v>
      </c>
    </row>
    <row r="237" spans="1:28" ht="15.75" customHeight="1" x14ac:dyDescent="0.25">
      <c r="A237" s="8" t="s">
        <v>401</v>
      </c>
      <c r="B237" s="8" t="s">
        <v>402</v>
      </c>
      <c r="C237" s="9" t="s">
        <v>534</v>
      </c>
      <c r="D237" s="8" t="s">
        <v>10</v>
      </c>
      <c r="E237" s="8" t="s">
        <v>358</v>
      </c>
      <c r="F237" s="8">
        <v>911</v>
      </c>
      <c r="G237" s="8" t="s">
        <v>404</v>
      </c>
      <c r="H237" s="8">
        <v>27065509</v>
      </c>
      <c r="I237" s="8" t="s">
        <v>987</v>
      </c>
      <c r="J237" s="8" t="s">
        <v>457</v>
      </c>
      <c r="K237" s="8" t="s">
        <v>407</v>
      </c>
      <c r="L237" s="8" t="s">
        <v>423</v>
      </c>
      <c r="M237" s="8" t="s">
        <v>363</v>
      </c>
      <c r="N237" s="8">
        <v>6</v>
      </c>
      <c r="O237" s="8" t="s">
        <v>536</v>
      </c>
      <c r="P237" s="8" t="s">
        <v>89</v>
      </c>
      <c r="Q237" s="10" t="s">
        <v>988</v>
      </c>
      <c r="R237" s="11">
        <v>88110236</v>
      </c>
      <c r="S237" s="11">
        <v>83000</v>
      </c>
      <c r="T237" s="11">
        <v>83302756</v>
      </c>
      <c r="U237" s="11">
        <v>111900000</v>
      </c>
      <c r="V237" s="12" t="s">
        <v>471</v>
      </c>
      <c r="W237" s="11">
        <v>24115200</v>
      </c>
      <c r="X237" s="11">
        <v>881102</v>
      </c>
      <c r="Y237" s="11">
        <v>0</v>
      </c>
      <c r="Z237" s="1">
        <f>+X237/R237</f>
        <v>9.9999959142091054E-3</v>
      </c>
      <c r="AA237" s="13"/>
      <c r="AB237" s="10" t="s">
        <v>412</v>
      </c>
    </row>
    <row r="238" spans="1:28" ht="15.75" customHeight="1" x14ac:dyDescent="0.25">
      <c r="A238" s="8" t="s">
        <v>401</v>
      </c>
      <c r="B238" s="8" t="s">
        <v>402</v>
      </c>
      <c r="C238" s="9" t="s">
        <v>534</v>
      </c>
      <c r="D238" s="8" t="s">
        <v>10</v>
      </c>
      <c r="E238" s="8" t="s">
        <v>358</v>
      </c>
      <c r="F238" s="8">
        <v>911</v>
      </c>
      <c r="G238" s="8" t="s">
        <v>404</v>
      </c>
      <c r="H238" s="8">
        <v>27045680</v>
      </c>
      <c r="I238" s="8" t="s">
        <v>989</v>
      </c>
      <c r="J238" s="8" t="s">
        <v>563</v>
      </c>
      <c r="K238" s="8" t="s">
        <v>407</v>
      </c>
      <c r="L238" s="8" t="s">
        <v>609</v>
      </c>
      <c r="M238" s="8" t="s">
        <v>361</v>
      </c>
      <c r="N238" s="8">
        <v>6</v>
      </c>
      <c r="O238" s="8" t="s">
        <v>542</v>
      </c>
      <c r="P238" s="8" t="s">
        <v>87</v>
      </c>
      <c r="Q238" s="10" t="s">
        <v>990</v>
      </c>
      <c r="R238" s="11">
        <v>98346457</v>
      </c>
      <c r="S238" s="11">
        <v>83000</v>
      </c>
      <c r="T238" s="11">
        <v>89495276</v>
      </c>
      <c r="U238" s="11">
        <v>124900000</v>
      </c>
      <c r="V238" s="12" t="s">
        <v>417</v>
      </c>
      <c r="W238" s="11">
        <v>0</v>
      </c>
      <c r="X238" s="11">
        <v>983465</v>
      </c>
      <c r="Y238" s="11">
        <f t="shared" ref="Y238:Y241" si="32">+X238</f>
        <v>983465</v>
      </c>
      <c r="Z238" s="1">
        <f>+X238/R238</f>
        <v>1.0000004372297824E-2</v>
      </c>
      <c r="AA238" s="13"/>
      <c r="AB238" s="10" t="s">
        <v>412</v>
      </c>
    </row>
    <row r="239" spans="1:28" ht="15.75" customHeight="1" x14ac:dyDescent="0.25">
      <c r="A239" s="8" t="s">
        <v>401</v>
      </c>
      <c r="B239" s="8" t="s">
        <v>402</v>
      </c>
      <c r="C239" s="9" t="s">
        <v>403</v>
      </c>
      <c r="D239" s="8" t="s">
        <v>11</v>
      </c>
      <c r="E239" s="8" t="s">
        <v>367</v>
      </c>
      <c r="F239" s="8">
        <v>866</v>
      </c>
      <c r="G239" s="8" t="s">
        <v>404</v>
      </c>
      <c r="H239" s="8">
        <v>27044780</v>
      </c>
      <c r="I239" s="8" t="s">
        <v>991</v>
      </c>
      <c r="J239" s="8" t="s">
        <v>489</v>
      </c>
      <c r="K239" s="8" t="s">
        <v>408</v>
      </c>
      <c r="L239" s="8" t="s">
        <v>440</v>
      </c>
      <c r="M239" s="8" t="s">
        <v>369</v>
      </c>
      <c r="N239" s="8">
        <v>8</v>
      </c>
      <c r="O239" s="8" t="s">
        <v>424</v>
      </c>
      <c r="P239" s="8" t="s">
        <v>25</v>
      </c>
      <c r="Q239" s="10" t="s">
        <v>992</v>
      </c>
      <c r="R239" s="11">
        <v>83259843</v>
      </c>
      <c r="S239" s="11">
        <v>1431000</v>
      </c>
      <c r="T239" s="11">
        <v>76873753</v>
      </c>
      <c r="U239" s="11">
        <v>105740001</v>
      </c>
      <c r="V239" s="12" t="s">
        <v>411</v>
      </c>
      <c r="W239" s="11">
        <v>0</v>
      </c>
      <c r="X239" s="11">
        <v>707709</v>
      </c>
      <c r="Y239" s="11">
        <f t="shared" si="32"/>
        <v>707709</v>
      </c>
      <c r="Z239" s="1">
        <f>+X239/R239</f>
        <v>8.5000040175430072E-3</v>
      </c>
      <c r="AA239" s="13"/>
      <c r="AB239" s="10" t="s">
        <v>412</v>
      </c>
    </row>
    <row r="240" spans="1:28" ht="15.75" customHeight="1" x14ac:dyDescent="0.25">
      <c r="A240" s="8" t="s">
        <v>401</v>
      </c>
      <c r="B240" s="8" t="s">
        <v>402</v>
      </c>
      <c r="C240" s="9" t="s">
        <v>403</v>
      </c>
      <c r="D240" s="8" t="s">
        <v>11</v>
      </c>
      <c r="E240" s="8" t="s">
        <v>367</v>
      </c>
      <c r="F240" s="8">
        <v>866</v>
      </c>
      <c r="G240" s="8" t="s">
        <v>404</v>
      </c>
      <c r="H240" s="8">
        <v>27032544</v>
      </c>
      <c r="I240" s="8" t="s">
        <v>993</v>
      </c>
      <c r="J240" s="8" t="s">
        <v>541</v>
      </c>
      <c r="K240" s="8" t="s">
        <v>428</v>
      </c>
      <c r="L240" s="8" t="s">
        <v>452</v>
      </c>
      <c r="M240" s="8" t="s">
        <v>368</v>
      </c>
      <c r="N240" s="8">
        <v>8</v>
      </c>
      <c r="O240" s="8" t="s">
        <v>469</v>
      </c>
      <c r="P240" s="8" t="s">
        <v>49</v>
      </c>
      <c r="Q240" s="10" t="s">
        <v>994</v>
      </c>
      <c r="R240" s="11">
        <v>70661417</v>
      </c>
      <c r="S240" s="11">
        <v>1431000</v>
      </c>
      <c r="T240" s="11">
        <v>64603412</v>
      </c>
      <c r="U240" s="11">
        <v>89740000</v>
      </c>
      <c r="V240" s="12" t="s">
        <v>417</v>
      </c>
      <c r="W240" s="11">
        <v>0</v>
      </c>
      <c r="X240" s="11">
        <v>600622</v>
      </c>
      <c r="Y240" s="11">
        <f t="shared" si="32"/>
        <v>600622</v>
      </c>
      <c r="Z240" s="1">
        <f>+X240/R240</f>
        <v>8.4999993702362352E-3</v>
      </c>
      <c r="AA240" s="13"/>
      <c r="AB240" s="10" t="s">
        <v>412</v>
      </c>
    </row>
    <row r="241" spans="1:28" ht="15.75" customHeight="1" x14ac:dyDescent="0.25">
      <c r="A241" s="8" t="s">
        <v>401</v>
      </c>
      <c r="B241" s="8" t="s">
        <v>402</v>
      </c>
      <c r="C241" s="9" t="s">
        <v>403</v>
      </c>
      <c r="D241" s="8" t="s">
        <v>11</v>
      </c>
      <c r="E241" s="8" t="s">
        <v>367</v>
      </c>
      <c r="F241" s="8">
        <v>866</v>
      </c>
      <c r="G241" s="8" t="s">
        <v>404</v>
      </c>
      <c r="H241" s="8">
        <v>26976248</v>
      </c>
      <c r="I241" s="8" t="s">
        <v>995</v>
      </c>
      <c r="J241" s="8" t="s">
        <v>428</v>
      </c>
      <c r="K241" s="8" t="s">
        <v>407</v>
      </c>
      <c r="L241" s="8" t="s">
        <v>415</v>
      </c>
      <c r="M241" s="8" t="s">
        <v>372</v>
      </c>
      <c r="N241" s="8">
        <v>8</v>
      </c>
      <c r="O241" s="8" t="s">
        <v>429</v>
      </c>
      <c r="P241" s="8" t="s">
        <v>27</v>
      </c>
      <c r="Q241" s="10" t="s">
        <v>996</v>
      </c>
      <c r="R241" s="11">
        <v>45661417</v>
      </c>
      <c r="S241" s="11">
        <v>695700</v>
      </c>
      <c r="T241" s="11">
        <v>41856299</v>
      </c>
      <c r="U241" s="11">
        <v>57990000</v>
      </c>
      <c r="V241" s="12" t="s">
        <v>411</v>
      </c>
      <c r="W241" s="11">
        <v>0</v>
      </c>
      <c r="X241" s="11">
        <v>388122</v>
      </c>
      <c r="Y241" s="11">
        <f t="shared" si="32"/>
        <v>388122</v>
      </c>
      <c r="Z241" s="1">
        <f>+X241/R241</f>
        <v>8.4999990254354136E-3</v>
      </c>
      <c r="AA241" s="13"/>
      <c r="AB241" s="10" t="s">
        <v>412</v>
      </c>
    </row>
    <row r="242" spans="1:28" ht="15.75" customHeight="1" x14ac:dyDescent="0.25">
      <c r="A242" s="8" t="s">
        <v>401</v>
      </c>
      <c r="B242" s="8" t="s">
        <v>402</v>
      </c>
      <c r="C242" s="9" t="s">
        <v>403</v>
      </c>
      <c r="D242" s="8" t="s">
        <v>11</v>
      </c>
      <c r="E242" s="8" t="s">
        <v>367</v>
      </c>
      <c r="F242" s="8">
        <v>866</v>
      </c>
      <c r="G242" s="8" t="s">
        <v>404</v>
      </c>
      <c r="H242" s="8">
        <v>27015370</v>
      </c>
      <c r="I242" s="8" t="s">
        <v>997</v>
      </c>
      <c r="J242" s="8" t="s">
        <v>428</v>
      </c>
      <c r="K242" s="8" t="s">
        <v>407</v>
      </c>
      <c r="L242" s="8" t="s">
        <v>415</v>
      </c>
      <c r="M242" s="8" t="s">
        <v>373</v>
      </c>
      <c r="N242" s="8">
        <v>8</v>
      </c>
      <c r="O242" s="8" t="s">
        <v>429</v>
      </c>
      <c r="P242" s="8" t="s">
        <v>27</v>
      </c>
      <c r="Q242" s="10" t="s">
        <v>998</v>
      </c>
      <c r="R242" s="11">
        <v>45661417</v>
      </c>
      <c r="S242" s="11">
        <v>695700</v>
      </c>
      <c r="T242" s="11">
        <v>41856299</v>
      </c>
      <c r="U242" s="11">
        <v>57990000</v>
      </c>
      <c r="V242" s="12" t="s">
        <v>411</v>
      </c>
      <c r="W242" s="11">
        <v>57990000</v>
      </c>
      <c r="X242" s="11">
        <v>388122</v>
      </c>
      <c r="Y242" s="11">
        <v>0</v>
      </c>
      <c r="Z242" s="1">
        <f>+X242/R242</f>
        <v>8.4999990254354136E-3</v>
      </c>
      <c r="AA242" s="13"/>
      <c r="AB242" s="10" t="s">
        <v>412</v>
      </c>
    </row>
    <row r="243" spans="1:28" ht="15.75" customHeight="1" x14ac:dyDescent="0.25">
      <c r="A243" s="8" t="s">
        <v>401</v>
      </c>
      <c r="B243" s="8" t="s">
        <v>402</v>
      </c>
      <c r="C243" s="9" t="s">
        <v>403</v>
      </c>
      <c r="D243" s="8" t="s">
        <v>11</v>
      </c>
      <c r="E243" s="8" t="s">
        <v>367</v>
      </c>
      <c r="F243" s="8">
        <v>866</v>
      </c>
      <c r="G243" s="8" t="s">
        <v>404</v>
      </c>
      <c r="H243" s="8">
        <v>27073752</v>
      </c>
      <c r="I243" s="8" t="s">
        <v>999</v>
      </c>
      <c r="J243" s="8" t="s">
        <v>422</v>
      </c>
      <c r="K243" s="8" t="s">
        <v>407</v>
      </c>
      <c r="L243" s="8" t="s">
        <v>415</v>
      </c>
      <c r="M243" s="8" t="s">
        <v>374</v>
      </c>
      <c r="N243" s="8">
        <v>8</v>
      </c>
      <c r="O243" s="8" t="s">
        <v>429</v>
      </c>
      <c r="P243" s="8" t="s">
        <v>27</v>
      </c>
      <c r="Q243" s="10" t="s">
        <v>1000</v>
      </c>
      <c r="R243" s="11">
        <v>45661417</v>
      </c>
      <c r="S243" s="11">
        <v>695700</v>
      </c>
      <c r="T243" s="11">
        <v>41856299</v>
      </c>
      <c r="U243" s="11">
        <v>57990000</v>
      </c>
      <c r="V243" s="12" t="s">
        <v>411</v>
      </c>
      <c r="W243" s="11">
        <v>0</v>
      </c>
      <c r="X243" s="11">
        <v>388122</v>
      </c>
      <c r="Y243" s="11">
        <f t="shared" ref="Y243:Y244" si="33">+X243</f>
        <v>388122</v>
      </c>
      <c r="Z243" s="1">
        <f>+X243/R243</f>
        <v>8.4999990254354136E-3</v>
      </c>
      <c r="AA243" s="13"/>
      <c r="AB243" s="10" t="s">
        <v>412</v>
      </c>
    </row>
    <row r="244" spans="1:28" ht="15.75" customHeight="1" x14ac:dyDescent="0.25">
      <c r="A244" s="8" t="s">
        <v>401</v>
      </c>
      <c r="B244" s="8" t="s">
        <v>402</v>
      </c>
      <c r="C244" s="9" t="s">
        <v>403</v>
      </c>
      <c r="D244" s="8" t="s">
        <v>11</v>
      </c>
      <c r="E244" s="8" t="s">
        <v>367</v>
      </c>
      <c r="F244" s="8">
        <v>866</v>
      </c>
      <c r="G244" s="8" t="s">
        <v>496</v>
      </c>
      <c r="H244" s="8">
        <v>27069103</v>
      </c>
      <c r="I244" s="8" t="s">
        <v>1001</v>
      </c>
      <c r="J244" s="8" t="s">
        <v>456</v>
      </c>
      <c r="K244" s="8" t="s">
        <v>407</v>
      </c>
      <c r="L244" s="8" t="s">
        <v>415</v>
      </c>
      <c r="M244" s="8" t="s">
        <v>371</v>
      </c>
      <c r="N244" s="8">
        <v>8</v>
      </c>
      <c r="O244" s="8" t="s">
        <v>1002</v>
      </c>
      <c r="P244" s="8" t="s">
        <v>370</v>
      </c>
      <c r="Q244" s="10" t="s">
        <v>1003</v>
      </c>
      <c r="R244" s="11">
        <v>124106195</v>
      </c>
      <c r="S244" s="11">
        <v>1464000</v>
      </c>
      <c r="T244" s="11">
        <v>119461062</v>
      </c>
      <c r="U244" s="11">
        <v>140240000</v>
      </c>
      <c r="V244" s="12" t="s">
        <v>622</v>
      </c>
      <c r="W244" s="11">
        <v>0</v>
      </c>
      <c r="X244" s="11">
        <v>1054903</v>
      </c>
      <c r="Y244" s="11">
        <f t="shared" si="33"/>
        <v>1054903</v>
      </c>
      <c r="Z244" s="1">
        <f>+X244/R244</f>
        <v>8.5000027597333071E-3</v>
      </c>
      <c r="AA244" s="13"/>
      <c r="AB244" s="10" t="s">
        <v>412</v>
      </c>
    </row>
    <row r="245" spans="1:28" ht="15.75" customHeight="1" x14ac:dyDescent="0.25">
      <c r="A245" s="8" t="s">
        <v>401</v>
      </c>
      <c r="B245" s="8" t="s">
        <v>402</v>
      </c>
      <c r="C245" s="9" t="s">
        <v>403</v>
      </c>
      <c r="D245" s="8" t="s">
        <v>11</v>
      </c>
      <c r="E245" s="8" t="s">
        <v>367</v>
      </c>
      <c r="F245" s="8">
        <v>866</v>
      </c>
      <c r="G245" s="8" t="s">
        <v>404</v>
      </c>
      <c r="H245" s="8">
        <v>27072275</v>
      </c>
      <c r="I245" s="8" t="s">
        <v>1004</v>
      </c>
      <c r="J245" s="8" t="s">
        <v>422</v>
      </c>
      <c r="K245" s="8" t="s">
        <v>407</v>
      </c>
      <c r="L245" s="8" t="s">
        <v>415</v>
      </c>
      <c r="M245" s="8" t="s">
        <v>375</v>
      </c>
      <c r="N245" s="8">
        <v>8</v>
      </c>
      <c r="O245" s="8" t="s">
        <v>559</v>
      </c>
      <c r="P245" s="8" t="s">
        <v>103</v>
      </c>
      <c r="Q245" s="10" t="s">
        <v>1005</v>
      </c>
      <c r="R245" s="11">
        <v>81250089</v>
      </c>
      <c r="S245" s="11">
        <v>989000</v>
      </c>
      <c r="T245" s="11">
        <v>79564910</v>
      </c>
      <c r="U245" s="11">
        <v>91812601</v>
      </c>
      <c r="V245" s="12" t="s">
        <v>454</v>
      </c>
      <c r="W245" s="11">
        <v>0</v>
      </c>
      <c r="X245" s="11">
        <v>690626</v>
      </c>
      <c r="Y245" s="11">
        <f>X245</f>
        <v>690626</v>
      </c>
      <c r="Z245" s="1">
        <f>+X245/R245</f>
        <v>8.5000029969197945E-3</v>
      </c>
      <c r="AA245" s="13"/>
      <c r="AB245" s="10" t="s">
        <v>412</v>
      </c>
    </row>
    <row r="246" spans="1:28" ht="15.75" customHeight="1" x14ac:dyDescent="0.25">
      <c r="A246" s="8" t="s">
        <v>401</v>
      </c>
      <c r="B246" s="8" t="s">
        <v>402</v>
      </c>
      <c r="C246" s="9" t="s">
        <v>403</v>
      </c>
      <c r="D246" s="8" t="s">
        <v>11</v>
      </c>
      <c r="E246" s="8" t="s">
        <v>367</v>
      </c>
      <c r="F246" s="8">
        <v>866</v>
      </c>
      <c r="G246" s="8" t="s">
        <v>404</v>
      </c>
      <c r="H246" s="8">
        <v>27058751</v>
      </c>
      <c r="I246" s="8" t="s">
        <v>1006</v>
      </c>
      <c r="J246" s="8" t="s">
        <v>406</v>
      </c>
      <c r="K246" s="8" t="s">
        <v>440</v>
      </c>
      <c r="L246" s="8" t="s">
        <v>609</v>
      </c>
      <c r="M246" s="8" t="s">
        <v>1007</v>
      </c>
      <c r="N246" s="8">
        <v>8</v>
      </c>
      <c r="O246" s="8" t="s">
        <v>568</v>
      </c>
      <c r="P246" s="8" t="s">
        <v>101</v>
      </c>
      <c r="Q246" s="10" t="s">
        <v>1008</v>
      </c>
      <c r="R246" s="11">
        <v>156849558</v>
      </c>
      <c r="S246" s="11">
        <v>798300</v>
      </c>
      <c r="T246" s="11">
        <v>141761947</v>
      </c>
      <c r="U246" s="11">
        <v>177240001</v>
      </c>
      <c r="V246" s="12" t="s">
        <v>554</v>
      </c>
      <c r="W246" s="11">
        <v>0</v>
      </c>
      <c r="X246" s="11">
        <v>1333221</v>
      </c>
      <c r="Y246" s="11">
        <f>+X246/2</f>
        <v>666610.5</v>
      </c>
      <c r="Z246" s="1">
        <f>+X246/R246</f>
        <v>8.4999984507447574E-3</v>
      </c>
      <c r="AA246" s="13"/>
      <c r="AB246" s="10" t="s">
        <v>518</v>
      </c>
    </row>
    <row r="247" spans="1:28" ht="15.75" customHeight="1" x14ac:dyDescent="0.25">
      <c r="A247" s="8" t="s">
        <v>401</v>
      </c>
      <c r="B247" s="8" t="s">
        <v>402</v>
      </c>
      <c r="C247" s="9" t="s">
        <v>403</v>
      </c>
      <c r="D247" s="8" t="s">
        <v>11</v>
      </c>
      <c r="E247" s="8" t="s">
        <v>1009</v>
      </c>
      <c r="F247" s="8">
        <v>1026</v>
      </c>
      <c r="G247" s="8" t="s">
        <v>404</v>
      </c>
      <c r="H247" s="8">
        <v>27071689</v>
      </c>
      <c r="I247" s="8" t="s">
        <v>1010</v>
      </c>
      <c r="J247" s="8" t="s">
        <v>456</v>
      </c>
      <c r="K247" s="8" t="s">
        <v>407</v>
      </c>
      <c r="L247" s="8" t="s">
        <v>415</v>
      </c>
      <c r="M247" s="8" t="s">
        <v>1011</v>
      </c>
      <c r="N247" s="8">
        <v>1</v>
      </c>
      <c r="O247" s="8" t="s">
        <v>458</v>
      </c>
      <c r="P247" s="8" t="s">
        <v>43</v>
      </c>
      <c r="Q247" s="10" t="s">
        <v>1012</v>
      </c>
      <c r="R247" s="11">
        <v>51763780</v>
      </c>
      <c r="S247" s="11">
        <v>691700</v>
      </c>
      <c r="T247" s="11">
        <v>46908793</v>
      </c>
      <c r="U247" s="11">
        <v>65740001</v>
      </c>
      <c r="V247" s="12" t="s">
        <v>417</v>
      </c>
      <c r="W247" s="11">
        <v>59101348</v>
      </c>
      <c r="X247" s="11">
        <v>232937</v>
      </c>
      <c r="Y247" s="11">
        <v>0</v>
      </c>
      <c r="Z247" s="1">
        <f>+X247/R247</f>
        <v>4.4999998068147263E-3</v>
      </c>
      <c r="AA247" s="13"/>
      <c r="AB247" s="10" t="s">
        <v>412</v>
      </c>
    </row>
    <row r="248" spans="1:28" ht="15.75" customHeight="1" x14ac:dyDescent="0.25">
      <c r="A248" s="8"/>
      <c r="B248" s="8"/>
      <c r="C248" s="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10"/>
      <c r="R248" s="11"/>
      <c r="S248" s="11"/>
      <c r="T248" s="11"/>
      <c r="U248" s="11"/>
      <c r="V248" s="12"/>
      <c r="W248" s="11"/>
      <c r="X248" s="11"/>
      <c r="Y248" s="11"/>
      <c r="Z248" s="1"/>
      <c r="AA248" s="13"/>
      <c r="AB248" s="10"/>
    </row>
    <row r="249" spans="1:28" ht="15.75" customHeight="1" x14ac:dyDescent="0.25">
      <c r="A249" s="8"/>
      <c r="B249" s="8"/>
      <c r="C249" s="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10"/>
      <c r="R249" s="11"/>
      <c r="S249" s="11"/>
      <c r="T249" s="11"/>
      <c r="U249" s="11"/>
      <c r="V249" s="12"/>
      <c r="W249" s="11"/>
      <c r="X249" s="11"/>
      <c r="Y249" s="11"/>
      <c r="Z249" s="1"/>
      <c r="AA249" s="13"/>
      <c r="AB249" s="10"/>
    </row>
    <row r="250" spans="1:28" ht="15.75" customHeight="1" x14ac:dyDescent="0.25">
      <c r="A250" s="8"/>
      <c r="B250" s="8"/>
      <c r="C250" s="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10"/>
      <c r="R250" s="11"/>
      <c r="S250" s="11"/>
      <c r="T250" s="11"/>
      <c r="U250" s="11"/>
      <c r="V250" s="12"/>
      <c r="W250" s="11"/>
      <c r="X250" s="11"/>
      <c r="Y250" s="11"/>
      <c r="Z250" s="1"/>
      <c r="AA250" s="13"/>
      <c r="AB250" s="10"/>
    </row>
    <row r="251" spans="1:28" ht="15.75" customHeight="1" x14ac:dyDescent="0.25">
      <c r="A251" s="8"/>
      <c r="B251" s="8"/>
      <c r="C251" s="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10"/>
      <c r="R251" s="11"/>
      <c r="S251" s="11"/>
      <c r="T251" s="11"/>
      <c r="U251" s="11"/>
      <c r="V251" s="12"/>
      <c r="W251" s="11"/>
      <c r="X251" s="11"/>
      <c r="Y251" s="11"/>
      <c r="Z251" s="1"/>
      <c r="AA251" s="13"/>
      <c r="AB251" s="10"/>
    </row>
    <row r="252" spans="1:28" ht="15.75" customHeight="1" x14ac:dyDescent="0.25"/>
    <row r="253" spans="1:28" ht="15.75" customHeight="1" x14ac:dyDescent="0.25"/>
    <row r="254" spans="1:28" ht="15.75" customHeight="1" x14ac:dyDescent="0.25"/>
    <row r="255" spans="1:28" ht="15.75" customHeight="1" x14ac:dyDescent="0.25"/>
    <row r="256" spans="1:2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B247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topLeftCell="G1" workbookViewId="0">
      <selection activeCell="M19" sqref="M19"/>
    </sheetView>
  </sheetViews>
  <sheetFormatPr baseColWidth="10" defaultColWidth="14.42578125" defaultRowHeight="15" customHeight="1" x14ac:dyDescent="0.25"/>
  <cols>
    <col min="1" max="1" width="46.5703125" customWidth="1"/>
    <col min="2" max="2" width="42.42578125" customWidth="1"/>
    <col min="3" max="3" width="18.140625" customWidth="1"/>
    <col min="4" max="4" width="15.140625" customWidth="1"/>
    <col min="5" max="5" width="43.85546875" customWidth="1"/>
    <col min="6" max="6" width="19" customWidth="1"/>
    <col min="7" max="7" width="28.140625" customWidth="1"/>
    <col min="8" max="8" width="15" customWidth="1"/>
    <col min="9" max="9" width="12.85546875" customWidth="1"/>
    <col min="10" max="11" width="19" customWidth="1"/>
    <col min="12" max="12" width="15.5703125" customWidth="1"/>
    <col min="13" max="13" width="44.5703125" customWidth="1"/>
    <col min="14" max="14" width="10.85546875" customWidth="1"/>
    <col min="15" max="15" width="23.140625" customWidth="1"/>
    <col min="16" max="16" width="21.85546875" customWidth="1"/>
    <col min="17" max="17" width="21.140625" customWidth="1"/>
    <col min="18" max="18" width="16.42578125" customWidth="1"/>
    <col min="19" max="19" width="14" customWidth="1"/>
    <col min="20" max="20" width="16.42578125" customWidth="1"/>
    <col min="21" max="21" width="14.140625" customWidth="1"/>
    <col min="22" max="22" width="9.42578125" customWidth="1"/>
    <col min="23" max="23" width="18.28515625" customWidth="1"/>
    <col min="24" max="25" width="16.140625" customWidth="1"/>
    <col min="26" max="26" width="19" customWidth="1"/>
    <col min="27" max="27" width="9.140625" customWidth="1"/>
  </cols>
  <sheetData>
    <row r="1" spans="1:28" ht="15.75" x14ac:dyDescent="0.25">
      <c r="A1" s="25" t="s">
        <v>378</v>
      </c>
      <c r="B1" s="25" t="s">
        <v>379</v>
      </c>
      <c r="C1" s="25" t="s">
        <v>380</v>
      </c>
      <c r="D1" s="25" t="s">
        <v>0</v>
      </c>
      <c r="E1" s="25" t="s">
        <v>16</v>
      </c>
      <c r="F1" s="25" t="s">
        <v>381</v>
      </c>
      <c r="G1" s="25" t="s">
        <v>382</v>
      </c>
      <c r="H1" s="25" t="s">
        <v>383</v>
      </c>
      <c r="I1" s="25" t="s">
        <v>384</v>
      </c>
      <c r="J1" s="25" t="s">
        <v>385</v>
      </c>
      <c r="K1" s="25" t="s">
        <v>386</v>
      </c>
      <c r="L1" s="25" t="s">
        <v>387</v>
      </c>
      <c r="M1" s="25" t="s">
        <v>18</v>
      </c>
      <c r="N1" s="25" t="s">
        <v>388</v>
      </c>
      <c r="O1" s="25" t="s">
        <v>389</v>
      </c>
      <c r="P1" s="25" t="s">
        <v>17</v>
      </c>
      <c r="Q1" s="25" t="s">
        <v>390</v>
      </c>
      <c r="R1" s="25" t="s">
        <v>391</v>
      </c>
      <c r="S1" s="25" t="s">
        <v>392</v>
      </c>
      <c r="T1" s="25" t="s">
        <v>393</v>
      </c>
      <c r="U1" s="25" t="s">
        <v>394</v>
      </c>
      <c r="V1" s="25" t="s">
        <v>395</v>
      </c>
      <c r="W1" s="25" t="s">
        <v>396</v>
      </c>
      <c r="X1" s="25" t="s">
        <v>397</v>
      </c>
      <c r="Y1" s="25" t="s">
        <v>399</v>
      </c>
      <c r="Z1" s="25" t="s">
        <v>398</v>
      </c>
      <c r="AA1" s="25" t="s">
        <v>400</v>
      </c>
      <c r="AB1" s="32" t="s">
        <v>1097</v>
      </c>
    </row>
    <row r="2" spans="1:28" x14ac:dyDescent="0.25">
      <c r="A2" s="8" t="s">
        <v>1013</v>
      </c>
      <c r="B2" s="8" t="s">
        <v>1014</v>
      </c>
      <c r="C2" s="9" t="s">
        <v>403</v>
      </c>
      <c r="D2" s="8" t="s">
        <v>4</v>
      </c>
      <c r="E2" s="8" t="s">
        <v>111</v>
      </c>
      <c r="F2" s="8">
        <v>907</v>
      </c>
      <c r="G2" s="8" t="s">
        <v>551</v>
      </c>
      <c r="H2" s="8">
        <v>26968245</v>
      </c>
      <c r="I2" s="8" t="s">
        <v>1015</v>
      </c>
      <c r="J2" s="8" t="s">
        <v>631</v>
      </c>
      <c r="K2" s="8" t="s">
        <v>407</v>
      </c>
      <c r="L2" s="8" t="s">
        <v>541</v>
      </c>
      <c r="M2" s="8" t="s">
        <v>1016</v>
      </c>
      <c r="N2" s="8">
        <v>12</v>
      </c>
      <c r="O2" s="8" t="s">
        <v>905</v>
      </c>
      <c r="P2" s="8" t="s">
        <v>307</v>
      </c>
      <c r="Q2" s="10" t="s">
        <v>1017</v>
      </c>
      <c r="R2" s="11">
        <v>65946457</v>
      </c>
      <c r="S2" s="11">
        <v>2024000</v>
      </c>
      <c r="T2" s="11">
        <v>57013779</v>
      </c>
      <c r="U2" s="11">
        <v>83752000</v>
      </c>
      <c r="V2" s="12" t="s">
        <v>662</v>
      </c>
      <c r="W2" s="11">
        <v>0</v>
      </c>
      <c r="X2" s="11">
        <v>560545</v>
      </c>
      <c r="Y2" s="11">
        <f>+X2</f>
        <v>560545</v>
      </c>
      <c r="Z2" s="1">
        <f t="shared" ref="Z2:Z24" si="0">+X2/R2</f>
        <v>8.5000017514208527E-3</v>
      </c>
      <c r="AA2" s="11" t="s">
        <v>412</v>
      </c>
    </row>
    <row r="3" spans="1:28" x14ac:dyDescent="0.25">
      <c r="A3" s="8" t="s">
        <v>1013</v>
      </c>
      <c r="B3" s="8" t="s">
        <v>1014</v>
      </c>
      <c r="C3" s="9" t="s">
        <v>534</v>
      </c>
      <c r="D3" s="8" t="s">
        <v>1018</v>
      </c>
      <c r="E3" s="8" t="s">
        <v>111</v>
      </c>
      <c r="F3" s="8">
        <v>907</v>
      </c>
      <c r="G3" s="8" t="s">
        <v>420</v>
      </c>
      <c r="H3" s="8">
        <v>27025721</v>
      </c>
      <c r="I3" s="8" t="s">
        <v>1019</v>
      </c>
      <c r="J3" s="8" t="s">
        <v>571</v>
      </c>
      <c r="K3" s="8" t="s">
        <v>407</v>
      </c>
      <c r="L3" s="8" t="s">
        <v>541</v>
      </c>
      <c r="M3" s="8" t="s">
        <v>1020</v>
      </c>
      <c r="N3" s="8">
        <v>12</v>
      </c>
      <c r="O3" s="8" t="s">
        <v>542</v>
      </c>
      <c r="P3" s="8" t="s">
        <v>87</v>
      </c>
      <c r="Q3" s="10" t="s">
        <v>1021</v>
      </c>
      <c r="R3" s="11">
        <v>98346457</v>
      </c>
      <c r="S3" s="11">
        <v>234000</v>
      </c>
      <c r="T3" s="11">
        <v>89003543</v>
      </c>
      <c r="U3" s="11">
        <v>124900001</v>
      </c>
      <c r="V3" s="12" t="s">
        <v>554</v>
      </c>
      <c r="W3" s="11">
        <v>57077101</v>
      </c>
      <c r="X3" s="11">
        <v>983465</v>
      </c>
      <c r="Y3" s="11">
        <v>0</v>
      </c>
      <c r="Z3" s="1">
        <f t="shared" si="0"/>
        <v>1.0000004372297824E-2</v>
      </c>
      <c r="AA3" s="11" t="s">
        <v>412</v>
      </c>
    </row>
    <row r="4" spans="1:28" x14ac:dyDescent="0.25">
      <c r="A4" s="8" t="s">
        <v>1013</v>
      </c>
      <c r="B4" s="8" t="s">
        <v>1014</v>
      </c>
      <c r="C4" s="9" t="s">
        <v>403</v>
      </c>
      <c r="D4" s="8" t="s">
        <v>5</v>
      </c>
      <c r="E4" s="8" t="s">
        <v>121</v>
      </c>
      <c r="F4" s="8">
        <v>823</v>
      </c>
      <c r="G4" s="8" t="s">
        <v>404</v>
      </c>
      <c r="H4" s="8">
        <v>27018093</v>
      </c>
      <c r="I4" s="8" t="s">
        <v>1022</v>
      </c>
      <c r="J4" s="8" t="s">
        <v>1023</v>
      </c>
      <c r="K4" s="8" t="s">
        <v>407</v>
      </c>
      <c r="L4" s="8" t="s">
        <v>541</v>
      </c>
      <c r="M4" s="8" t="s">
        <v>1024</v>
      </c>
      <c r="N4" s="8">
        <v>3</v>
      </c>
      <c r="O4" s="8" t="s">
        <v>1025</v>
      </c>
      <c r="P4" s="8" t="s">
        <v>30</v>
      </c>
      <c r="Q4" s="10" t="s">
        <v>1026</v>
      </c>
      <c r="R4" s="11">
        <v>136283186</v>
      </c>
      <c r="S4" s="11">
        <v>534000</v>
      </c>
      <c r="T4" s="11">
        <v>124677795</v>
      </c>
      <c r="U4" s="11">
        <v>154000000</v>
      </c>
      <c r="V4" s="12" t="s">
        <v>417</v>
      </c>
      <c r="W4" s="11">
        <v>0</v>
      </c>
      <c r="X4" s="11">
        <v>681416</v>
      </c>
      <c r="Y4" s="11">
        <f t="shared" ref="Y4:Y24" si="1">+X4</f>
        <v>681416</v>
      </c>
      <c r="Z4" s="1">
        <f t="shared" si="0"/>
        <v>5.0000005136363627E-3</v>
      </c>
      <c r="AA4" s="11" t="s">
        <v>412</v>
      </c>
    </row>
    <row r="5" spans="1:28" x14ac:dyDescent="0.25">
      <c r="A5" s="8" t="s">
        <v>1013</v>
      </c>
      <c r="B5" s="8" t="s">
        <v>1014</v>
      </c>
      <c r="C5" s="9" t="s">
        <v>403</v>
      </c>
      <c r="D5" s="8" t="s">
        <v>5</v>
      </c>
      <c r="E5" s="8" t="s">
        <v>121</v>
      </c>
      <c r="F5" s="8">
        <v>823</v>
      </c>
      <c r="G5" s="8" t="s">
        <v>577</v>
      </c>
      <c r="H5" s="8">
        <v>27016202</v>
      </c>
      <c r="I5" s="8" t="s">
        <v>1027</v>
      </c>
      <c r="J5" s="8" t="s">
        <v>717</v>
      </c>
      <c r="K5" s="8" t="s">
        <v>407</v>
      </c>
      <c r="L5" s="8" t="s">
        <v>541</v>
      </c>
      <c r="M5" s="8" t="s">
        <v>1028</v>
      </c>
      <c r="N5" s="8">
        <v>3</v>
      </c>
      <c r="O5" s="8" t="s">
        <v>461</v>
      </c>
      <c r="P5" s="8" t="s">
        <v>45</v>
      </c>
      <c r="Q5" s="10" t="s">
        <v>1029</v>
      </c>
      <c r="R5" s="11">
        <v>71047244</v>
      </c>
      <c r="S5" s="11">
        <v>952200</v>
      </c>
      <c r="T5" s="11">
        <v>64953412</v>
      </c>
      <c r="U5" s="11">
        <v>90230000</v>
      </c>
      <c r="V5" s="12" t="s">
        <v>417</v>
      </c>
      <c r="W5" s="11">
        <v>0</v>
      </c>
      <c r="X5" s="11">
        <v>355236</v>
      </c>
      <c r="Y5" s="11">
        <f t="shared" si="1"/>
        <v>355236</v>
      </c>
      <c r="Z5" s="1">
        <f t="shared" si="0"/>
        <v>4.9999969034689087E-3</v>
      </c>
      <c r="AA5" s="11" t="s">
        <v>412</v>
      </c>
    </row>
    <row r="6" spans="1:28" x14ac:dyDescent="0.25">
      <c r="A6" s="8" t="s">
        <v>1013</v>
      </c>
      <c r="B6" s="8" t="s">
        <v>1014</v>
      </c>
      <c r="C6" s="9" t="s">
        <v>403</v>
      </c>
      <c r="D6" s="8" t="s">
        <v>5</v>
      </c>
      <c r="E6" s="8" t="s">
        <v>133</v>
      </c>
      <c r="F6" s="8">
        <v>923</v>
      </c>
      <c r="G6" s="8" t="s">
        <v>496</v>
      </c>
      <c r="H6" s="8">
        <v>27015690</v>
      </c>
      <c r="I6" s="8" t="s">
        <v>1030</v>
      </c>
      <c r="J6" s="8" t="s">
        <v>1023</v>
      </c>
      <c r="K6" s="8" t="s">
        <v>407</v>
      </c>
      <c r="L6" s="8" t="s">
        <v>541</v>
      </c>
      <c r="M6" s="8" t="s">
        <v>1031</v>
      </c>
      <c r="N6" s="8">
        <v>2</v>
      </c>
      <c r="O6" s="8" t="s">
        <v>461</v>
      </c>
      <c r="P6" s="8" t="s">
        <v>45</v>
      </c>
      <c r="Q6" s="10" t="s">
        <v>1032</v>
      </c>
      <c r="R6" s="11">
        <v>73220472</v>
      </c>
      <c r="S6" s="11">
        <v>624000</v>
      </c>
      <c r="T6" s="11">
        <v>64953412</v>
      </c>
      <c r="U6" s="11">
        <v>92990000</v>
      </c>
      <c r="V6" s="12" t="s">
        <v>576</v>
      </c>
      <c r="W6" s="11">
        <v>0</v>
      </c>
      <c r="X6" s="11">
        <v>366102</v>
      </c>
      <c r="Y6" s="11">
        <f t="shared" si="1"/>
        <v>366102</v>
      </c>
      <c r="Z6" s="1">
        <f t="shared" si="0"/>
        <v>4.9999950833422655E-3</v>
      </c>
      <c r="AA6" s="11" t="s">
        <v>412</v>
      </c>
    </row>
    <row r="7" spans="1:28" x14ac:dyDescent="0.25">
      <c r="A7" s="8" t="s">
        <v>1013</v>
      </c>
      <c r="B7" s="8" t="s">
        <v>1014</v>
      </c>
      <c r="C7" s="9" t="s">
        <v>403</v>
      </c>
      <c r="D7" s="8" t="s">
        <v>6</v>
      </c>
      <c r="E7" s="8" t="s">
        <v>155</v>
      </c>
      <c r="F7" s="8">
        <v>861</v>
      </c>
      <c r="G7" s="8" t="s">
        <v>404</v>
      </c>
      <c r="H7" s="8">
        <v>27007672</v>
      </c>
      <c r="I7" s="8" t="s">
        <v>1033</v>
      </c>
      <c r="J7" s="8" t="s">
        <v>717</v>
      </c>
      <c r="K7" s="8" t="s">
        <v>407</v>
      </c>
      <c r="L7" s="8" t="s">
        <v>541</v>
      </c>
      <c r="M7" s="8" t="s">
        <v>1034</v>
      </c>
      <c r="N7" s="8">
        <v>11</v>
      </c>
      <c r="O7" s="8" t="s">
        <v>409</v>
      </c>
      <c r="P7" s="8" t="s">
        <v>21</v>
      </c>
      <c r="Q7" s="10" t="s">
        <v>1035</v>
      </c>
      <c r="R7" s="11">
        <v>86614173</v>
      </c>
      <c r="S7" s="11">
        <v>1901000</v>
      </c>
      <c r="T7" s="11">
        <v>77595538</v>
      </c>
      <c r="U7" s="11">
        <v>110000000</v>
      </c>
      <c r="V7" s="12" t="s">
        <v>554</v>
      </c>
      <c r="W7" s="11">
        <v>0</v>
      </c>
      <c r="X7" s="11">
        <v>736220</v>
      </c>
      <c r="Y7" s="11">
        <f t="shared" si="1"/>
        <v>736220</v>
      </c>
      <c r="Z7" s="1">
        <f t="shared" si="0"/>
        <v>8.4999945678636227E-3</v>
      </c>
      <c r="AA7" s="11" t="s">
        <v>412</v>
      </c>
    </row>
    <row r="8" spans="1:28" x14ac:dyDescent="0.25">
      <c r="A8" s="8" t="s">
        <v>1013</v>
      </c>
      <c r="B8" s="8" t="s">
        <v>1014</v>
      </c>
      <c r="C8" s="9" t="s">
        <v>403</v>
      </c>
      <c r="D8" s="8" t="s">
        <v>6</v>
      </c>
      <c r="E8" s="8" t="s">
        <v>155</v>
      </c>
      <c r="F8" s="8">
        <v>861</v>
      </c>
      <c r="G8" s="8" t="s">
        <v>404</v>
      </c>
      <c r="H8" s="8">
        <v>27026579</v>
      </c>
      <c r="I8" s="8" t="s">
        <v>1036</v>
      </c>
      <c r="J8" s="8" t="s">
        <v>571</v>
      </c>
      <c r="K8" s="8" t="s">
        <v>407</v>
      </c>
      <c r="L8" s="8" t="s">
        <v>798</v>
      </c>
      <c r="M8" s="8" t="s">
        <v>1037</v>
      </c>
      <c r="N8" s="8">
        <v>11</v>
      </c>
      <c r="O8" s="8" t="s">
        <v>424</v>
      </c>
      <c r="P8" s="8" t="s">
        <v>25</v>
      </c>
      <c r="Q8" s="10" t="s">
        <v>1038</v>
      </c>
      <c r="R8" s="11">
        <v>82933307</v>
      </c>
      <c r="S8" s="11">
        <v>1431000</v>
      </c>
      <c r="T8" s="11">
        <v>76873753</v>
      </c>
      <c r="U8" s="11">
        <v>105325300</v>
      </c>
      <c r="V8" s="12" t="s">
        <v>463</v>
      </c>
      <c r="W8" s="11">
        <v>0</v>
      </c>
      <c r="X8" s="11">
        <v>704933</v>
      </c>
      <c r="Y8" s="11">
        <f t="shared" si="1"/>
        <v>704933</v>
      </c>
      <c r="Z8" s="1">
        <f t="shared" si="0"/>
        <v>8.4999986796619603E-3</v>
      </c>
      <c r="AA8" s="11" t="s">
        <v>412</v>
      </c>
    </row>
    <row r="9" spans="1:28" x14ac:dyDescent="0.25">
      <c r="A9" s="8" t="s">
        <v>1013</v>
      </c>
      <c r="B9" s="8" t="s">
        <v>1014</v>
      </c>
      <c r="C9" s="9" t="s">
        <v>403</v>
      </c>
      <c r="D9" s="8" t="s">
        <v>6</v>
      </c>
      <c r="E9" s="8" t="s">
        <v>155</v>
      </c>
      <c r="F9" s="8">
        <v>861</v>
      </c>
      <c r="G9" s="8" t="s">
        <v>551</v>
      </c>
      <c r="H9" s="8">
        <v>27012908</v>
      </c>
      <c r="I9" s="8" t="s">
        <v>1039</v>
      </c>
      <c r="J9" s="8" t="s">
        <v>1040</v>
      </c>
      <c r="K9" s="8" t="s">
        <v>407</v>
      </c>
      <c r="L9" s="8" t="s">
        <v>798</v>
      </c>
      <c r="M9" s="8" t="s">
        <v>1041</v>
      </c>
      <c r="N9" s="8">
        <v>11</v>
      </c>
      <c r="O9" s="8" t="s">
        <v>485</v>
      </c>
      <c r="P9" s="8" t="s">
        <v>58</v>
      </c>
      <c r="Q9" s="10" t="s">
        <v>1042</v>
      </c>
      <c r="R9" s="11">
        <v>81259843</v>
      </c>
      <c r="S9" s="11">
        <v>1302200</v>
      </c>
      <c r="T9" s="11">
        <v>71449475</v>
      </c>
      <c r="U9" s="11">
        <v>103200000</v>
      </c>
      <c r="V9" s="12" t="s">
        <v>566</v>
      </c>
      <c r="W9" s="11">
        <v>0</v>
      </c>
      <c r="X9" s="11">
        <v>690709</v>
      </c>
      <c r="Y9" s="11">
        <f t="shared" si="1"/>
        <v>690709</v>
      </c>
      <c r="Z9" s="1">
        <f t="shared" si="0"/>
        <v>8.5000041164243947E-3</v>
      </c>
      <c r="AA9" s="11" t="s">
        <v>412</v>
      </c>
    </row>
    <row r="10" spans="1:28" x14ac:dyDescent="0.25">
      <c r="A10" s="8" t="s">
        <v>1013</v>
      </c>
      <c r="B10" s="8" t="s">
        <v>1014</v>
      </c>
      <c r="C10" s="9" t="s">
        <v>403</v>
      </c>
      <c r="D10" s="8" t="s">
        <v>6</v>
      </c>
      <c r="E10" s="8" t="s">
        <v>176</v>
      </c>
      <c r="F10" s="8">
        <v>324</v>
      </c>
      <c r="G10" s="8" t="s">
        <v>404</v>
      </c>
      <c r="H10" s="8">
        <v>27016976</v>
      </c>
      <c r="I10" s="8" t="s">
        <v>1043</v>
      </c>
      <c r="J10" s="8" t="s">
        <v>717</v>
      </c>
      <c r="K10" s="8" t="s">
        <v>407</v>
      </c>
      <c r="L10" s="8" t="s">
        <v>798</v>
      </c>
      <c r="M10" s="8" t="s">
        <v>1044</v>
      </c>
      <c r="N10" s="8">
        <v>6</v>
      </c>
      <c r="O10" s="8" t="s">
        <v>461</v>
      </c>
      <c r="P10" s="8" t="s">
        <v>45</v>
      </c>
      <c r="Q10" s="10" t="s">
        <v>1045</v>
      </c>
      <c r="R10" s="11">
        <v>70944277</v>
      </c>
      <c r="S10" s="11">
        <v>1331200</v>
      </c>
      <c r="T10" s="11">
        <v>64953412</v>
      </c>
      <c r="U10" s="11">
        <v>90099232</v>
      </c>
      <c r="V10" s="14" t="s">
        <v>411</v>
      </c>
      <c r="W10" s="11">
        <v>0</v>
      </c>
      <c r="X10" s="11">
        <v>461138</v>
      </c>
      <c r="Y10" s="11">
        <f t="shared" si="1"/>
        <v>461138</v>
      </c>
      <c r="Z10" s="1">
        <f t="shared" si="0"/>
        <v>6.5000028120661517E-3</v>
      </c>
      <c r="AA10" s="11" t="s">
        <v>412</v>
      </c>
    </row>
    <row r="11" spans="1:28" x14ac:dyDescent="0.25">
      <c r="A11" s="8" t="s">
        <v>1013</v>
      </c>
      <c r="B11" s="8" t="s">
        <v>1014</v>
      </c>
      <c r="C11" s="9" t="s">
        <v>403</v>
      </c>
      <c r="D11" s="8" t="s">
        <v>6</v>
      </c>
      <c r="E11" s="8" t="s">
        <v>188</v>
      </c>
      <c r="F11" s="8">
        <v>308</v>
      </c>
      <c r="G11" s="8" t="s">
        <v>404</v>
      </c>
      <c r="H11" s="8">
        <v>27022516</v>
      </c>
      <c r="I11" s="8" t="s">
        <v>1046</v>
      </c>
      <c r="J11" s="8" t="s">
        <v>1047</v>
      </c>
      <c r="K11" s="8" t="s">
        <v>407</v>
      </c>
      <c r="L11" s="8" t="s">
        <v>798</v>
      </c>
      <c r="M11" s="8" t="s">
        <v>1048</v>
      </c>
      <c r="N11" s="8">
        <v>4</v>
      </c>
      <c r="O11" s="8" t="s">
        <v>409</v>
      </c>
      <c r="P11" s="8" t="s">
        <v>21</v>
      </c>
      <c r="Q11" s="10" t="s">
        <v>1049</v>
      </c>
      <c r="R11" s="11">
        <v>84199213</v>
      </c>
      <c r="S11" s="11">
        <v>584000</v>
      </c>
      <c r="T11" s="11">
        <v>76873753</v>
      </c>
      <c r="U11" s="11">
        <v>106933000</v>
      </c>
      <c r="V11" s="14" t="s">
        <v>417</v>
      </c>
      <c r="W11" s="11">
        <v>0</v>
      </c>
      <c r="X11" s="11">
        <v>378896</v>
      </c>
      <c r="Y11" s="11">
        <f t="shared" si="1"/>
        <v>378896</v>
      </c>
      <c r="Z11" s="1">
        <f t="shared" si="0"/>
        <v>4.4999945545809317E-3</v>
      </c>
      <c r="AA11" s="11" t="s">
        <v>412</v>
      </c>
    </row>
    <row r="12" spans="1:28" x14ac:dyDescent="0.25">
      <c r="A12" s="8" t="s">
        <v>1013</v>
      </c>
      <c r="B12" s="8" t="s">
        <v>1014</v>
      </c>
      <c r="C12" s="9" t="s">
        <v>403</v>
      </c>
      <c r="D12" s="8" t="s">
        <v>6</v>
      </c>
      <c r="E12" s="8" t="s">
        <v>203</v>
      </c>
      <c r="F12" s="8">
        <v>867</v>
      </c>
      <c r="G12" s="8" t="s">
        <v>404</v>
      </c>
      <c r="H12" s="8">
        <v>27022282</v>
      </c>
      <c r="I12" s="8" t="s">
        <v>1050</v>
      </c>
      <c r="J12" s="8" t="s">
        <v>1047</v>
      </c>
      <c r="K12" s="8" t="s">
        <v>407</v>
      </c>
      <c r="L12" s="8" t="s">
        <v>798</v>
      </c>
      <c r="M12" s="8" t="s">
        <v>1051</v>
      </c>
      <c r="N12" s="8">
        <v>12</v>
      </c>
      <c r="O12" s="8" t="s">
        <v>545</v>
      </c>
      <c r="P12" s="8" t="s">
        <v>97</v>
      </c>
      <c r="Q12" s="10" t="s">
        <v>1052</v>
      </c>
      <c r="R12" s="11">
        <v>71271496</v>
      </c>
      <c r="S12" s="11">
        <v>1431000</v>
      </c>
      <c r="T12" s="11">
        <v>63159842</v>
      </c>
      <c r="U12" s="11">
        <v>90514800</v>
      </c>
      <c r="V12" s="14" t="s">
        <v>576</v>
      </c>
      <c r="W12" s="11">
        <v>0</v>
      </c>
      <c r="X12" s="11">
        <v>570172</v>
      </c>
      <c r="Y12" s="11">
        <f t="shared" si="1"/>
        <v>570172</v>
      </c>
      <c r="Z12" s="1">
        <f t="shared" si="0"/>
        <v>8.0000004489873475E-3</v>
      </c>
      <c r="AA12" s="11" t="s">
        <v>412</v>
      </c>
    </row>
    <row r="13" spans="1:28" x14ac:dyDescent="0.25">
      <c r="A13" s="8" t="s">
        <v>1013</v>
      </c>
      <c r="B13" s="8" t="s">
        <v>1014</v>
      </c>
      <c r="C13" s="9" t="s">
        <v>403</v>
      </c>
      <c r="D13" s="8" t="s">
        <v>6</v>
      </c>
      <c r="E13" s="8" t="s">
        <v>203</v>
      </c>
      <c r="F13" s="8">
        <v>867</v>
      </c>
      <c r="G13" s="8" t="s">
        <v>496</v>
      </c>
      <c r="H13" s="8">
        <v>26984650</v>
      </c>
      <c r="I13" s="8" t="s">
        <v>1053</v>
      </c>
      <c r="J13" s="8" t="s">
        <v>1054</v>
      </c>
      <c r="K13" s="8" t="s">
        <v>407</v>
      </c>
      <c r="L13" s="8" t="s">
        <v>571</v>
      </c>
      <c r="M13" s="8" t="s">
        <v>1055</v>
      </c>
      <c r="N13" s="8">
        <v>12</v>
      </c>
      <c r="O13" s="8" t="s">
        <v>409</v>
      </c>
      <c r="P13" s="8" t="s">
        <v>21</v>
      </c>
      <c r="Q13" s="10" t="s">
        <v>1056</v>
      </c>
      <c r="R13" s="11">
        <v>85039370</v>
      </c>
      <c r="S13" s="11">
        <v>1431000</v>
      </c>
      <c r="T13" s="11">
        <v>77595538</v>
      </c>
      <c r="U13" s="11">
        <v>108000000</v>
      </c>
      <c r="V13" s="14" t="s">
        <v>417</v>
      </c>
      <c r="W13" s="11">
        <v>0</v>
      </c>
      <c r="X13" s="11">
        <v>680315</v>
      </c>
      <c r="Y13" s="11">
        <f t="shared" si="1"/>
        <v>680315</v>
      </c>
      <c r="Z13" s="1">
        <f t="shared" si="0"/>
        <v>8.0000004703703713E-3</v>
      </c>
      <c r="AA13" s="11" t="s">
        <v>412</v>
      </c>
    </row>
    <row r="14" spans="1:28" x14ac:dyDescent="0.25">
      <c r="A14" s="8" t="s">
        <v>1013</v>
      </c>
      <c r="B14" s="8" t="s">
        <v>1014</v>
      </c>
      <c r="C14" s="9" t="s">
        <v>403</v>
      </c>
      <c r="D14" s="8" t="s">
        <v>6</v>
      </c>
      <c r="E14" s="8" t="s">
        <v>203</v>
      </c>
      <c r="F14" s="8">
        <v>867</v>
      </c>
      <c r="G14" s="8" t="s">
        <v>496</v>
      </c>
      <c r="H14" s="8">
        <v>27014844</v>
      </c>
      <c r="I14" s="8" t="s">
        <v>1057</v>
      </c>
      <c r="J14" s="8" t="s">
        <v>484</v>
      </c>
      <c r="K14" s="8" t="s">
        <v>407</v>
      </c>
      <c r="L14" s="8" t="s">
        <v>571</v>
      </c>
      <c r="M14" s="8" t="s">
        <v>1058</v>
      </c>
      <c r="N14" s="8">
        <v>12</v>
      </c>
      <c r="O14" s="8" t="s">
        <v>1059</v>
      </c>
      <c r="P14" s="8" t="s">
        <v>108</v>
      </c>
      <c r="Q14" s="10" t="s">
        <v>1060</v>
      </c>
      <c r="R14" s="11">
        <v>89755906</v>
      </c>
      <c r="S14" s="11">
        <v>1895000</v>
      </c>
      <c r="T14" s="11">
        <v>80110892</v>
      </c>
      <c r="U14" s="11">
        <v>113990000</v>
      </c>
      <c r="V14" s="14" t="s">
        <v>576</v>
      </c>
      <c r="W14" s="11">
        <v>0</v>
      </c>
      <c r="X14" s="11">
        <v>718047</v>
      </c>
      <c r="Y14" s="11">
        <f t="shared" si="1"/>
        <v>718047</v>
      </c>
      <c r="Z14" s="1">
        <f t="shared" si="0"/>
        <v>7.9999972369506241E-3</v>
      </c>
      <c r="AA14" s="11" t="s">
        <v>412</v>
      </c>
    </row>
    <row r="15" spans="1:28" x14ac:dyDescent="0.25">
      <c r="A15" s="8" t="s">
        <v>1013</v>
      </c>
      <c r="B15" s="8" t="s">
        <v>1014</v>
      </c>
      <c r="C15" s="9" t="s">
        <v>403</v>
      </c>
      <c r="D15" s="8" t="s">
        <v>6</v>
      </c>
      <c r="E15" s="8" t="s">
        <v>213</v>
      </c>
      <c r="F15" s="8">
        <v>966</v>
      </c>
      <c r="G15" s="8" t="s">
        <v>404</v>
      </c>
      <c r="H15" s="8">
        <v>23157837</v>
      </c>
      <c r="I15" s="8" t="s">
        <v>1061</v>
      </c>
      <c r="J15" s="8" t="s">
        <v>1054</v>
      </c>
      <c r="K15" s="8" t="s">
        <v>407</v>
      </c>
      <c r="L15" s="8" t="s">
        <v>1023</v>
      </c>
      <c r="M15" s="8" t="s">
        <v>1062</v>
      </c>
      <c r="N15" s="8">
        <v>14</v>
      </c>
      <c r="O15" s="8" t="s">
        <v>458</v>
      </c>
      <c r="P15" s="8" t="s">
        <v>43</v>
      </c>
      <c r="Q15" s="10" t="s">
        <v>1063</v>
      </c>
      <c r="R15" s="11">
        <v>51688372</v>
      </c>
      <c r="S15" s="11">
        <v>1062800</v>
      </c>
      <c r="T15" s="11">
        <v>46908793</v>
      </c>
      <c r="U15" s="11">
        <v>65644232</v>
      </c>
      <c r="V15" s="12" t="s">
        <v>417</v>
      </c>
      <c r="W15" s="11">
        <v>0</v>
      </c>
      <c r="X15" s="11">
        <v>439351</v>
      </c>
      <c r="Y15" s="11">
        <f t="shared" si="1"/>
        <v>439351</v>
      </c>
      <c r="Z15" s="1">
        <f t="shared" si="0"/>
        <v>8.4999968658328023E-3</v>
      </c>
      <c r="AA15" s="11" t="s">
        <v>412</v>
      </c>
    </row>
    <row r="16" spans="1:28" x14ac:dyDescent="0.25">
      <c r="A16" s="8" t="s">
        <v>1013</v>
      </c>
      <c r="B16" s="8" t="s">
        <v>1014</v>
      </c>
      <c r="C16" s="9" t="s">
        <v>403</v>
      </c>
      <c r="D16" s="8" t="s">
        <v>6</v>
      </c>
      <c r="E16" s="8" t="s">
        <v>213</v>
      </c>
      <c r="F16" s="8">
        <v>966</v>
      </c>
      <c r="G16" s="8" t="s">
        <v>404</v>
      </c>
      <c r="H16" s="8">
        <v>26986270</v>
      </c>
      <c r="I16" s="8" t="s">
        <v>1064</v>
      </c>
      <c r="J16" s="8" t="s">
        <v>1023</v>
      </c>
      <c r="K16" s="8" t="s">
        <v>407</v>
      </c>
      <c r="L16" s="8" t="s">
        <v>1047</v>
      </c>
      <c r="M16" s="8" t="s">
        <v>1065</v>
      </c>
      <c r="N16" s="8">
        <v>14</v>
      </c>
      <c r="O16" s="8" t="s">
        <v>461</v>
      </c>
      <c r="P16" s="8" t="s">
        <v>45</v>
      </c>
      <c r="Q16" s="10" t="s">
        <v>1066</v>
      </c>
      <c r="R16" s="11">
        <v>70458428</v>
      </c>
      <c r="S16" s="11">
        <v>712800</v>
      </c>
      <c r="T16" s="11">
        <v>64953412</v>
      </c>
      <c r="U16" s="11">
        <v>89482204</v>
      </c>
      <c r="V16" s="12" t="s">
        <v>411</v>
      </c>
      <c r="W16" s="11">
        <v>0</v>
      </c>
      <c r="X16" s="11">
        <v>598897</v>
      </c>
      <c r="Y16" s="11">
        <f t="shared" si="1"/>
        <v>598897</v>
      </c>
      <c r="Z16" s="1">
        <f t="shared" si="0"/>
        <v>8.5000051377813884E-3</v>
      </c>
      <c r="AA16" s="11" t="s">
        <v>412</v>
      </c>
    </row>
    <row r="17" spans="1:27" x14ac:dyDescent="0.25">
      <c r="A17" s="8" t="s">
        <v>1013</v>
      </c>
      <c r="B17" s="8" t="s">
        <v>1014</v>
      </c>
      <c r="C17" s="9" t="s">
        <v>403</v>
      </c>
      <c r="D17" s="8" t="s">
        <v>6</v>
      </c>
      <c r="E17" s="8" t="s">
        <v>213</v>
      </c>
      <c r="F17" s="8">
        <v>966</v>
      </c>
      <c r="G17" s="8" t="s">
        <v>404</v>
      </c>
      <c r="H17" s="8">
        <v>27002509</v>
      </c>
      <c r="I17" s="8" t="s">
        <v>1067</v>
      </c>
      <c r="J17" s="8" t="s">
        <v>717</v>
      </c>
      <c r="K17" s="8" t="s">
        <v>407</v>
      </c>
      <c r="L17" s="8" t="s">
        <v>541</v>
      </c>
      <c r="M17" s="8" t="s">
        <v>1068</v>
      </c>
      <c r="N17" s="8">
        <v>14</v>
      </c>
      <c r="O17" s="8" t="s">
        <v>461</v>
      </c>
      <c r="P17" s="8" t="s">
        <v>45</v>
      </c>
      <c r="Q17" s="10" t="s">
        <v>1069</v>
      </c>
      <c r="R17" s="11">
        <v>71253868</v>
      </c>
      <c r="S17" s="11">
        <v>781200</v>
      </c>
      <c r="T17" s="11">
        <v>64953412</v>
      </c>
      <c r="U17" s="11">
        <v>84792103</v>
      </c>
      <c r="V17" s="12" t="s">
        <v>417</v>
      </c>
      <c r="W17" s="11">
        <v>0</v>
      </c>
      <c r="X17" s="11">
        <v>605658</v>
      </c>
      <c r="Y17" s="11">
        <f t="shared" si="1"/>
        <v>605658</v>
      </c>
      <c r="Z17" s="1">
        <f t="shared" si="0"/>
        <v>8.5000017121877516E-3</v>
      </c>
      <c r="AA17" s="11" t="s">
        <v>412</v>
      </c>
    </row>
    <row r="18" spans="1:27" x14ac:dyDescent="0.25">
      <c r="A18" s="8" t="s">
        <v>1013</v>
      </c>
      <c r="B18" s="8" t="s">
        <v>1014</v>
      </c>
      <c r="C18" s="9" t="s">
        <v>403</v>
      </c>
      <c r="D18" s="8" t="s">
        <v>8</v>
      </c>
      <c r="E18" s="8" t="s">
        <v>248</v>
      </c>
      <c r="F18" s="8">
        <v>272</v>
      </c>
      <c r="G18" s="8" t="s">
        <v>510</v>
      </c>
      <c r="H18" s="8">
        <v>27020402</v>
      </c>
      <c r="I18" s="8" t="s">
        <v>1070</v>
      </c>
      <c r="J18" s="8" t="s">
        <v>1071</v>
      </c>
      <c r="K18" s="8" t="s">
        <v>407</v>
      </c>
      <c r="L18" s="8" t="s">
        <v>798</v>
      </c>
      <c r="M18" s="8" t="s">
        <v>1072</v>
      </c>
      <c r="N18" s="8">
        <v>7</v>
      </c>
      <c r="O18" s="8" t="s">
        <v>409</v>
      </c>
      <c r="P18" s="8" t="s">
        <v>21</v>
      </c>
      <c r="Q18" s="10" t="s">
        <v>1073</v>
      </c>
      <c r="R18" s="11">
        <v>83562126</v>
      </c>
      <c r="S18" s="11">
        <v>1431000</v>
      </c>
      <c r="T18" s="11">
        <v>76873753</v>
      </c>
      <c r="U18" s="11">
        <v>106123900</v>
      </c>
      <c r="V18" s="12" t="s">
        <v>411</v>
      </c>
      <c r="W18" s="11">
        <v>0</v>
      </c>
      <c r="X18" s="11">
        <v>584935</v>
      </c>
      <c r="Y18" s="11">
        <f t="shared" si="1"/>
        <v>584935</v>
      </c>
      <c r="Z18" s="1">
        <f t="shared" si="0"/>
        <v>7.0000014121229994E-3</v>
      </c>
      <c r="AA18" s="11" t="s">
        <v>412</v>
      </c>
    </row>
    <row r="19" spans="1:27" x14ac:dyDescent="0.25">
      <c r="A19" s="8" t="s">
        <v>1013</v>
      </c>
      <c r="B19" s="8" t="s">
        <v>1014</v>
      </c>
      <c r="C19" s="9" t="s">
        <v>403</v>
      </c>
      <c r="D19" s="8" t="s">
        <v>8</v>
      </c>
      <c r="E19" s="8" t="s">
        <v>248</v>
      </c>
      <c r="F19" s="8">
        <v>272</v>
      </c>
      <c r="G19" s="8" t="s">
        <v>505</v>
      </c>
      <c r="H19" s="8">
        <v>23174190</v>
      </c>
      <c r="I19" s="8" t="s">
        <v>1074</v>
      </c>
      <c r="J19" s="8" t="s">
        <v>488</v>
      </c>
      <c r="K19" s="8" t="s">
        <v>407</v>
      </c>
      <c r="L19" s="8" t="s">
        <v>1075</v>
      </c>
      <c r="M19" s="8" t="s">
        <v>1076</v>
      </c>
      <c r="N19" s="8">
        <v>7</v>
      </c>
      <c r="O19" s="8" t="s">
        <v>458</v>
      </c>
      <c r="P19" s="8" t="s">
        <v>43</v>
      </c>
      <c r="Q19" s="10" t="s">
        <v>1077</v>
      </c>
      <c r="R19" s="11">
        <v>51763780</v>
      </c>
      <c r="S19" s="11">
        <v>695700</v>
      </c>
      <c r="T19" s="11">
        <v>46908793</v>
      </c>
      <c r="U19" s="11">
        <v>65740001</v>
      </c>
      <c r="V19" s="12" t="s">
        <v>417</v>
      </c>
      <c r="W19" s="11">
        <v>0</v>
      </c>
      <c r="X19" s="11">
        <v>362346</v>
      </c>
      <c r="Y19" s="11">
        <f t="shared" si="1"/>
        <v>362346</v>
      </c>
      <c r="Z19" s="1">
        <f t="shared" si="0"/>
        <v>6.9999911134774164E-3</v>
      </c>
      <c r="AA19" s="11" t="s">
        <v>412</v>
      </c>
    </row>
    <row r="20" spans="1:27" x14ac:dyDescent="0.25">
      <c r="A20" s="8" t="s">
        <v>1013</v>
      </c>
      <c r="B20" s="8" t="s">
        <v>1014</v>
      </c>
      <c r="C20" s="9" t="s">
        <v>403</v>
      </c>
      <c r="D20" s="8" t="s">
        <v>8</v>
      </c>
      <c r="E20" s="8" t="s">
        <v>272</v>
      </c>
      <c r="F20" s="8">
        <v>1038</v>
      </c>
      <c r="G20" s="8" t="s">
        <v>510</v>
      </c>
      <c r="H20" s="8">
        <v>23148195</v>
      </c>
      <c r="I20" s="8" t="s">
        <v>1078</v>
      </c>
      <c r="J20" s="8" t="s">
        <v>488</v>
      </c>
      <c r="K20" s="8" t="s">
        <v>407</v>
      </c>
      <c r="L20" s="8" t="s">
        <v>1075</v>
      </c>
      <c r="M20" s="8" t="s">
        <v>1079</v>
      </c>
      <c r="N20" s="8">
        <v>5</v>
      </c>
      <c r="O20" s="8" t="s">
        <v>458</v>
      </c>
      <c r="P20" s="8" t="s">
        <v>43</v>
      </c>
      <c r="Q20" s="10" t="s">
        <v>1080</v>
      </c>
      <c r="R20" s="11">
        <v>51763780</v>
      </c>
      <c r="S20" s="11">
        <v>695700</v>
      </c>
      <c r="T20" s="11">
        <v>46908793</v>
      </c>
      <c r="U20" s="11">
        <v>65740001</v>
      </c>
      <c r="V20" s="14" t="s">
        <v>417</v>
      </c>
      <c r="W20" s="11">
        <v>0</v>
      </c>
      <c r="X20" s="11">
        <v>232937</v>
      </c>
      <c r="Y20" s="11">
        <f t="shared" si="1"/>
        <v>232937</v>
      </c>
      <c r="Z20" s="1">
        <f t="shared" si="0"/>
        <v>4.4999998068147263E-3</v>
      </c>
      <c r="AA20" s="11" t="s">
        <v>412</v>
      </c>
    </row>
    <row r="21" spans="1:27" ht="15.75" customHeight="1" x14ac:dyDescent="0.25">
      <c r="A21" s="8" t="s">
        <v>1013</v>
      </c>
      <c r="B21" s="8" t="s">
        <v>1014</v>
      </c>
      <c r="C21" s="9" t="s">
        <v>403</v>
      </c>
      <c r="D21" s="8" t="s">
        <v>8</v>
      </c>
      <c r="E21" s="8" t="s">
        <v>272</v>
      </c>
      <c r="F21" s="8">
        <v>1038</v>
      </c>
      <c r="G21" s="8" t="s">
        <v>404</v>
      </c>
      <c r="H21" s="8">
        <v>27015942</v>
      </c>
      <c r="I21" s="8" t="s">
        <v>1081</v>
      </c>
      <c r="J21" s="8" t="s">
        <v>717</v>
      </c>
      <c r="K21" s="8" t="s">
        <v>407</v>
      </c>
      <c r="L21" s="8" t="s">
        <v>798</v>
      </c>
      <c r="M21" s="8" t="s">
        <v>1082</v>
      </c>
      <c r="N21" s="8">
        <v>5</v>
      </c>
      <c r="O21" s="8" t="s">
        <v>461</v>
      </c>
      <c r="P21" s="8" t="s">
        <v>45</v>
      </c>
      <c r="Q21" s="10" t="s">
        <v>1083</v>
      </c>
      <c r="R21" s="11">
        <v>70858268</v>
      </c>
      <c r="S21" s="11">
        <v>1425600</v>
      </c>
      <c r="T21" s="11">
        <v>64953412</v>
      </c>
      <c r="U21" s="11">
        <v>89990000</v>
      </c>
      <c r="V21" s="14" t="s">
        <v>411</v>
      </c>
      <c r="W21" s="11">
        <v>0</v>
      </c>
      <c r="X21" s="11">
        <v>318862</v>
      </c>
      <c r="Y21" s="11">
        <f t="shared" si="1"/>
        <v>318862</v>
      </c>
      <c r="Z21" s="1">
        <f t="shared" si="0"/>
        <v>4.4999970927880996E-3</v>
      </c>
      <c r="AA21" s="11" t="s">
        <v>412</v>
      </c>
    </row>
    <row r="22" spans="1:27" ht="15.75" customHeight="1" x14ac:dyDescent="0.25">
      <c r="A22" s="8" t="s">
        <v>1013</v>
      </c>
      <c r="B22" s="8" t="s">
        <v>1014</v>
      </c>
      <c r="C22" s="9" t="s">
        <v>403</v>
      </c>
      <c r="D22" s="8" t="s">
        <v>8</v>
      </c>
      <c r="E22" s="8" t="s">
        <v>272</v>
      </c>
      <c r="F22" s="8">
        <v>1038</v>
      </c>
      <c r="G22" s="8" t="s">
        <v>404</v>
      </c>
      <c r="H22" s="8">
        <v>27018046</v>
      </c>
      <c r="I22" s="8" t="s">
        <v>1084</v>
      </c>
      <c r="J22" s="8" t="s">
        <v>717</v>
      </c>
      <c r="K22" s="8" t="s">
        <v>407</v>
      </c>
      <c r="L22" s="8" t="s">
        <v>798</v>
      </c>
      <c r="M22" s="8" t="s">
        <v>1085</v>
      </c>
      <c r="N22" s="8">
        <v>5</v>
      </c>
      <c r="O22" s="8" t="s">
        <v>461</v>
      </c>
      <c r="P22" s="8" t="s">
        <v>45</v>
      </c>
      <c r="Q22" s="10" t="s">
        <v>1086</v>
      </c>
      <c r="R22" s="11">
        <v>70149685</v>
      </c>
      <c r="S22" s="11">
        <v>781200</v>
      </c>
      <c r="T22" s="11">
        <v>64953412</v>
      </c>
      <c r="U22" s="11">
        <v>89090100</v>
      </c>
      <c r="V22" s="14" t="s">
        <v>463</v>
      </c>
      <c r="W22" s="11">
        <v>0</v>
      </c>
      <c r="X22" s="11">
        <v>315674</v>
      </c>
      <c r="Y22" s="11">
        <f t="shared" si="1"/>
        <v>315674</v>
      </c>
      <c r="Z22" s="1">
        <f t="shared" si="0"/>
        <v>4.5000059515591549E-3</v>
      </c>
      <c r="AA22" s="11" t="s">
        <v>412</v>
      </c>
    </row>
    <row r="23" spans="1:27" ht="15.75" customHeight="1" x14ac:dyDescent="0.25">
      <c r="A23" s="8" t="s">
        <v>1013</v>
      </c>
      <c r="B23" s="8" t="s">
        <v>1014</v>
      </c>
      <c r="C23" s="9" t="s">
        <v>403</v>
      </c>
      <c r="D23" s="8" t="s">
        <v>8</v>
      </c>
      <c r="E23" s="8" t="s">
        <v>302</v>
      </c>
      <c r="F23" s="8">
        <v>279</v>
      </c>
      <c r="G23" s="8" t="s">
        <v>510</v>
      </c>
      <c r="H23" s="8">
        <v>26973132</v>
      </c>
      <c r="I23" s="8" t="s">
        <v>1087</v>
      </c>
      <c r="J23" s="8" t="s">
        <v>631</v>
      </c>
      <c r="K23" s="8" t="s">
        <v>407</v>
      </c>
      <c r="L23" s="8" t="s">
        <v>798</v>
      </c>
      <c r="M23" s="8" t="s">
        <v>1088</v>
      </c>
      <c r="N23" s="8">
        <v>8</v>
      </c>
      <c r="O23" s="8" t="s">
        <v>466</v>
      </c>
      <c r="P23" s="8" t="s">
        <v>51</v>
      </c>
      <c r="Q23" s="10" t="s">
        <v>1089</v>
      </c>
      <c r="R23" s="11">
        <v>64692992</v>
      </c>
      <c r="S23" s="11">
        <v>1431000</v>
      </c>
      <c r="T23" s="11">
        <v>59550918</v>
      </c>
      <c r="U23" s="11">
        <v>82160100</v>
      </c>
      <c r="V23" s="12" t="s">
        <v>411</v>
      </c>
      <c r="W23" s="11">
        <v>0</v>
      </c>
      <c r="X23" s="11">
        <v>549890</v>
      </c>
      <c r="Y23" s="11">
        <f t="shared" si="1"/>
        <v>549890</v>
      </c>
      <c r="Z23" s="1">
        <f t="shared" si="0"/>
        <v>8.4999933223060698E-3</v>
      </c>
      <c r="AA23" s="11" t="s">
        <v>412</v>
      </c>
    </row>
    <row r="24" spans="1:27" ht="15.75" customHeight="1" x14ac:dyDescent="0.25">
      <c r="A24" s="8" t="s">
        <v>1013</v>
      </c>
      <c r="B24" s="8" t="s">
        <v>1014</v>
      </c>
      <c r="C24" s="9" t="s">
        <v>403</v>
      </c>
      <c r="D24" s="8" t="s">
        <v>11</v>
      </c>
      <c r="E24" s="8" t="s">
        <v>367</v>
      </c>
      <c r="F24" s="8">
        <v>866</v>
      </c>
      <c r="G24" s="8" t="s">
        <v>404</v>
      </c>
      <c r="H24" s="8">
        <v>26999580</v>
      </c>
      <c r="I24" s="8" t="s">
        <v>1090</v>
      </c>
      <c r="J24" s="8" t="s">
        <v>1075</v>
      </c>
      <c r="K24" s="8" t="s">
        <v>407</v>
      </c>
      <c r="L24" s="8" t="s">
        <v>1047</v>
      </c>
      <c r="M24" s="8" t="s">
        <v>1091</v>
      </c>
      <c r="N24" s="8">
        <v>6</v>
      </c>
      <c r="O24" s="8" t="s">
        <v>1092</v>
      </c>
      <c r="P24" s="8" t="s">
        <v>58</v>
      </c>
      <c r="Q24" s="10" t="s">
        <v>1093</v>
      </c>
      <c r="R24" s="11">
        <v>75030630</v>
      </c>
      <c r="S24" s="11">
        <v>735600</v>
      </c>
      <c r="T24" s="11">
        <v>69284120</v>
      </c>
      <c r="U24" s="11">
        <v>95288900</v>
      </c>
      <c r="V24" s="12" t="s">
        <v>411</v>
      </c>
      <c r="W24" s="11">
        <v>0</v>
      </c>
      <c r="X24" s="11">
        <v>525214</v>
      </c>
      <c r="Y24" s="11">
        <f t="shared" si="1"/>
        <v>525214</v>
      </c>
      <c r="Z24" s="1">
        <f t="shared" si="0"/>
        <v>6.9999945355650088E-3</v>
      </c>
      <c r="AA24" s="11" t="s">
        <v>412</v>
      </c>
    </row>
    <row r="25" spans="1:27" ht="15.75" customHeight="1" x14ac:dyDescent="0.25">
      <c r="A25" s="8"/>
      <c r="B25" s="8"/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0"/>
      <c r="R25" s="11"/>
      <c r="S25" s="11"/>
      <c r="T25" s="11"/>
      <c r="U25" s="11"/>
      <c r="V25" s="12"/>
      <c r="W25" s="11"/>
      <c r="X25" s="11"/>
      <c r="Y25" s="11"/>
      <c r="Z25" s="1"/>
    </row>
    <row r="26" spans="1:27" ht="15.75" customHeight="1" x14ac:dyDescent="0.25">
      <c r="A26" s="8"/>
      <c r="B26" s="8"/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0"/>
      <c r="R26" s="11"/>
      <c r="S26" s="11"/>
      <c r="T26" s="11"/>
      <c r="U26" s="11"/>
      <c r="V26" s="12"/>
      <c r="W26" s="11"/>
      <c r="X26" s="11"/>
      <c r="Y26" s="11"/>
      <c r="Z26" s="1"/>
    </row>
    <row r="27" spans="1:27" ht="15.75" customHeight="1" x14ac:dyDescent="0.25">
      <c r="A27" s="2" t="s">
        <v>12</v>
      </c>
      <c r="B27" s="26" t="s">
        <v>1094</v>
      </c>
      <c r="C27" s="27"/>
    </row>
    <row r="28" spans="1:27" ht="15.75" customHeight="1" x14ac:dyDescent="0.25">
      <c r="A28" s="3" t="s">
        <v>14</v>
      </c>
      <c r="B28" s="4" t="s">
        <v>15</v>
      </c>
      <c r="C28" s="5"/>
    </row>
    <row r="29" spans="1:27" ht="15.75" customHeight="1" x14ac:dyDescent="0.25">
      <c r="A29" s="17" t="s">
        <v>0</v>
      </c>
      <c r="B29" s="17" t="s">
        <v>16</v>
      </c>
      <c r="C29" s="17" t="s">
        <v>17</v>
      </c>
      <c r="D29" s="17" t="s">
        <v>18</v>
      </c>
      <c r="E29" s="18" t="s">
        <v>19</v>
      </c>
    </row>
    <row r="30" spans="1:27" ht="15.75" customHeight="1" x14ac:dyDescent="0.25">
      <c r="A30" s="19" t="s">
        <v>4</v>
      </c>
      <c r="B30" s="19" t="s">
        <v>111</v>
      </c>
      <c r="C30" s="19" t="s">
        <v>307</v>
      </c>
      <c r="D30" s="19" t="s">
        <v>1016</v>
      </c>
      <c r="E30" s="28">
        <v>560545</v>
      </c>
    </row>
    <row r="31" spans="1:27" ht="15.75" customHeight="1" x14ac:dyDescent="0.25">
      <c r="A31" s="20"/>
      <c r="B31" s="19" t="s">
        <v>115</v>
      </c>
      <c r="C31" s="21"/>
      <c r="D31" s="21"/>
      <c r="E31" s="28">
        <v>560545</v>
      </c>
    </row>
    <row r="32" spans="1:27" ht="15.75" customHeight="1" x14ac:dyDescent="0.25">
      <c r="A32" s="19" t="s">
        <v>120</v>
      </c>
      <c r="B32" s="21"/>
      <c r="C32" s="21"/>
      <c r="D32" s="21"/>
      <c r="E32" s="28">
        <v>560545</v>
      </c>
    </row>
    <row r="33" spans="1:5" ht="15.75" customHeight="1" x14ac:dyDescent="0.25">
      <c r="A33" s="19" t="s">
        <v>1018</v>
      </c>
      <c r="B33" s="19" t="s">
        <v>111</v>
      </c>
      <c r="C33" s="19" t="s">
        <v>87</v>
      </c>
      <c r="D33" s="19" t="s">
        <v>1020</v>
      </c>
      <c r="E33" s="28">
        <v>0</v>
      </c>
    </row>
    <row r="34" spans="1:5" ht="15.75" customHeight="1" x14ac:dyDescent="0.25">
      <c r="A34" s="20"/>
      <c r="B34" s="19" t="s">
        <v>115</v>
      </c>
      <c r="C34" s="21"/>
      <c r="D34" s="21"/>
      <c r="E34" s="28">
        <v>0</v>
      </c>
    </row>
    <row r="35" spans="1:5" ht="15.75" customHeight="1" x14ac:dyDescent="0.25">
      <c r="A35" s="19" t="s">
        <v>1095</v>
      </c>
      <c r="B35" s="21"/>
      <c r="C35" s="21"/>
      <c r="D35" s="21"/>
      <c r="E35" s="28">
        <v>0</v>
      </c>
    </row>
    <row r="36" spans="1:5" ht="15.75" customHeight="1" x14ac:dyDescent="0.25">
      <c r="A36" s="19" t="s">
        <v>5</v>
      </c>
      <c r="B36" s="19" t="s">
        <v>121</v>
      </c>
      <c r="C36" s="19" t="s">
        <v>45</v>
      </c>
      <c r="D36" s="19" t="s">
        <v>1028</v>
      </c>
      <c r="E36" s="28">
        <v>355236</v>
      </c>
    </row>
    <row r="37" spans="1:5" ht="15.75" customHeight="1" x14ac:dyDescent="0.25">
      <c r="A37" s="20"/>
      <c r="B37" s="20"/>
      <c r="C37" s="19" t="s">
        <v>30</v>
      </c>
      <c r="D37" s="19" t="s">
        <v>1024</v>
      </c>
      <c r="E37" s="28">
        <v>681416</v>
      </c>
    </row>
    <row r="38" spans="1:5" ht="15.75" customHeight="1" x14ac:dyDescent="0.25">
      <c r="A38" s="20"/>
      <c r="B38" s="19" t="s">
        <v>132</v>
      </c>
      <c r="C38" s="21"/>
      <c r="D38" s="21"/>
      <c r="E38" s="28">
        <v>1036652</v>
      </c>
    </row>
    <row r="39" spans="1:5" ht="15.75" customHeight="1" x14ac:dyDescent="0.25">
      <c r="A39" s="20"/>
      <c r="B39" s="19" t="s">
        <v>133</v>
      </c>
      <c r="C39" s="19" t="s">
        <v>45</v>
      </c>
      <c r="D39" s="19" t="s">
        <v>1031</v>
      </c>
      <c r="E39" s="28">
        <v>366102</v>
      </c>
    </row>
    <row r="40" spans="1:5" ht="15.75" customHeight="1" x14ac:dyDescent="0.25">
      <c r="A40" s="20"/>
      <c r="B40" s="19" t="s">
        <v>144</v>
      </c>
      <c r="C40" s="21"/>
      <c r="D40" s="21"/>
      <c r="E40" s="28">
        <v>366102</v>
      </c>
    </row>
    <row r="41" spans="1:5" ht="15.75" customHeight="1" x14ac:dyDescent="0.25">
      <c r="A41" s="19" t="s">
        <v>154</v>
      </c>
      <c r="B41" s="21"/>
      <c r="C41" s="21"/>
      <c r="D41" s="21"/>
      <c r="E41" s="28">
        <v>1402754</v>
      </c>
    </row>
    <row r="42" spans="1:5" ht="15.75" customHeight="1" x14ac:dyDescent="0.25">
      <c r="A42" s="19" t="s">
        <v>6</v>
      </c>
      <c r="B42" s="19" t="s">
        <v>155</v>
      </c>
      <c r="C42" s="19" t="s">
        <v>21</v>
      </c>
      <c r="D42" s="19" t="s">
        <v>1034</v>
      </c>
      <c r="E42" s="28">
        <v>736220</v>
      </c>
    </row>
    <row r="43" spans="1:5" ht="15.75" customHeight="1" x14ac:dyDescent="0.25">
      <c r="A43" s="20"/>
      <c r="B43" s="20"/>
      <c r="C43" s="19" t="s">
        <v>25</v>
      </c>
      <c r="D43" s="19" t="s">
        <v>1037</v>
      </c>
      <c r="E43" s="28">
        <v>704933</v>
      </c>
    </row>
    <row r="44" spans="1:5" ht="15.75" customHeight="1" x14ac:dyDescent="0.25">
      <c r="A44" s="20"/>
      <c r="B44" s="20"/>
      <c r="C44" s="19" t="s">
        <v>58</v>
      </c>
      <c r="D44" s="19" t="s">
        <v>1041</v>
      </c>
      <c r="E44" s="28">
        <v>690709</v>
      </c>
    </row>
    <row r="45" spans="1:5" ht="15.75" customHeight="1" x14ac:dyDescent="0.25">
      <c r="A45" s="20"/>
      <c r="B45" s="19" t="s">
        <v>161</v>
      </c>
      <c r="C45" s="21"/>
      <c r="D45" s="21"/>
      <c r="E45" s="28">
        <v>2131862</v>
      </c>
    </row>
    <row r="46" spans="1:5" ht="15.75" customHeight="1" x14ac:dyDescent="0.25">
      <c r="A46" s="20"/>
      <c r="B46" s="19" t="s">
        <v>176</v>
      </c>
      <c r="C46" s="19" t="s">
        <v>45</v>
      </c>
      <c r="D46" s="19" t="s">
        <v>1044</v>
      </c>
      <c r="E46" s="28">
        <v>461138</v>
      </c>
    </row>
    <row r="47" spans="1:5" ht="15.75" customHeight="1" x14ac:dyDescent="0.25">
      <c r="A47" s="20"/>
      <c r="B47" s="19" t="s">
        <v>183</v>
      </c>
      <c r="C47" s="21"/>
      <c r="D47" s="21"/>
      <c r="E47" s="28">
        <v>461138</v>
      </c>
    </row>
    <row r="48" spans="1:5" ht="15.75" customHeight="1" x14ac:dyDescent="0.25">
      <c r="A48" s="20"/>
      <c r="B48" s="19" t="s">
        <v>188</v>
      </c>
      <c r="C48" s="19" t="s">
        <v>21</v>
      </c>
      <c r="D48" s="19" t="s">
        <v>1048</v>
      </c>
      <c r="E48" s="28">
        <v>378896</v>
      </c>
    </row>
    <row r="49" spans="1:5" ht="15.75" customHeight="1" x14ac:dyDescent="0.25">
      <c r="A49" s="20"/>
      <c r="B49" s="19" t="s">
        <v>198</v>
      </c>
      <c r="C49" s="21"/>
      <c r="D49" s="21"/>
      <c r="E49" s="28">
        <v>378896</v>
      </c>
    </row>
    <row r="50" spans="1:5" ht="15.75" customHeight="1" x14ac:dyDescent="0.25">
      <c r="A50" s="20"/>
      <c r="B50" s="19" t="s">
        <v>203</v>
      </c>
      <c r="C50" s="19" t="s">
        <v>21</v>
      </c>
      <c r="D50" s="19" t="s">
        <v>1055</v>
      </c>
      <c r="E50" s="28">
        <v>680315</v>
      </c>
    </row>
    <row r="51" spans="1:5" ht="15.75" customHeight="1" x14ac:dyDescent="0.25">
      <c r="A51" s="20"/>
      <c r="B51" s="20"/>
      <c r="C51" s="19" t="s">
        <v>97</v>
      </c>
      <c r="D51" s="19" t="s">
        <v>1051</v>
      </c>
      <c r="E51" s="28">
        <v>570172</v>
      </c>
    </row>
    <row r="52" spans="1:5" ht="15.75" customHeight="1" x14ac:dyDescent="0.25">
      <c r="A52" s="20"/>
      <c r="B52" s="20"/>
      <c r="C52" s="19" t="s">
        <v>108</v>
      </c>
      <c r="D52" s="19" t="s">
        <v>1058</v>
      </c>
      <c r="E52" s="28">
        <v>718047</v>
      </c>
    </row>
    <row r="53" spans="1:5" ht="15.75" customHeight="1" x14ac:dyDescent="0.25">
      <c r="A53" s="20"/>
      <c r="B53" s="19" t="s">
        <v>212</v>
      </c>
      <c r="C53" s="21"/>
      <c r="D53" s="21"/>
      <c r="E53" s="28">
        <v>1968534</v>
      </c>
    </row>
    <row r="54" spans="1:5" ht="15.75" customHeight="1" x14ac:dyDescent="0.25">
      <c r="A54" s="20"/>
      <c r="B54" s="19" t="s">
        <v>213</v>
      </c>
      <c r="C54" s="19" t="s">
        <v>43</v>
      </c>
      <c r="D54" s="19" t="s">
        <v>1062</v>
      </c>
      <c r="E54" s="28">
        <v>439351</v>
      </c>
    </row>
    <row r="55" spans="1:5" ht="15.75" customHeight="1" x14ac:dyDescent="0.25">
      <c r="A55" s="20"/>
      <c r="B55" s="20"/>
      <c r="C55" s="19" t="s">
        <v>45</v>
      </c>
      <c r="D55" s="19" t="s">
        <v>1068</v>
      </c>
      <c r="E55" s="28">
        <v>605658</v>
      </c>
    </row>
    <row r="56" spans="1:5" ht="15.75" customHeight="1" x14ac:dyDescent="0.25">
      <c r="A56" s="20"/>
      <c r="B56" s="20"/>
      <c r="C56" s="20"/>
      <c r="D56" s="22" t="s">
        <v>1065</v>
      </c>
      <c r="E56" s="29">
        <v>598897</v>
      </c>
    </row>
    <row r="57" spans="1:5" ht="15.75" customHeight="1" x14ac:dyDescent="0.25">
      <c r="A57" s="20"/>
      <c r="B57" s="19" t="s">
        <v>223</v>
      </c>
      <c r="C57" s="21"/>
      <c r="D57" s="21"/>
      <c r="E57" s="28">
        <v>1643906</v>
      </c>
    </row>
    <row r="58" spans="1:5" ht="15.75" customHeight="1" x14ac:dyDescent="0.25">
      <c r="A58" s="19" t="s">
        <v>224</v>
      </c>
      <c r="B58" s="21"/>
      <c r="C58" s="21"/>
      <c r="D58" s="21"/>
      <c r="E58" s="28">
        <v>6584336</v>
      </c>
    </row>
    <row r="59" spans="1:5" ht="15.75" customHeight="1" x14ac:dyDescent="0.25">
      <c r="A59" s="19" t="s">
        <v>8</v>
      </c>
      <c r="B59" s="19" t="s">
        <v>248</v>
      </c>
      <c r="C59" s="19" t="s">
        <v>21</v>
      </c>
      <c r="D59" s="19" t="s">
        <v>1072</v>
      </c>
      <c r="E59" s="28">
        <v>584935</v>
      </c>
    </row>
    <row r="60" spans="1:5" ht="15.75" customHeight="1" x14ac:dyDescent="0.25">
      <c r="A60" s="20"/>
      <c r="B60" s="20"/>
      <c r="C60" s="19" t="s">
        <v>43</v>
      </c>
      <c r="D60" s="19" t="s">
        <v>1076</v>
      </c>
      <c r="E60" s="28">
        <v>362346</v>
      </c>
    </row>
    <row r="61" spans="1:5" ht="15.75" customHeight="1" x14ac:dyDescent="0.25">
      <c r="A61" s="20"/>
      <c r="B61" s="19" t="s">
        <v>263</v>
      </c>
      <c r="C61" s="21"/>
      <c r="D61" s="21"/>
      <c r="E61" s="28">
        <v>947281</v>
      </c>
    </row>
    <row r="62" spans="1:5" ht="15.75" customHeight="1" x14ac:dyDescent="0.25">
      <c r="A62" s="20"/>
      <c r="B62" s="19" t="s">
        <v>272</v>
      </c>
      <c r="C62" s="19" t="s">
        <v>43</v>
      </c>
      <c r="D62" s="19" t="s">
        <v>1079</v>
      </c>
      <c r="E62" s="28">
        <v>232937</v>
      </c>
    </row>
    <row r="63" spans="1:5" ht="15.75" customHeight="1" x14ac:dyDescent="0.25">
      <c r="A63" s="20"/>
      <c r="B63" s="20"/>
      <c r="C63" s="19" t="s">
        <v>45</v>
      </c>
      <c r="D63" s="19" t="s">
        <v>1082</v>
      </c>
      <c r="E63" s="28">
        <v>318862</v>
      </c>
    </row>
    <row r="64" spans="1:5" ht="15.75" customHeight="1" x14ac:dyDescent="0.25">
      <c r="A64" s="20"/>
      <c r="B64" s="20"/>
      <c r="C64" s="20"/>
      <c r="D64" s="22" t="s">
        <v>1085</v>
      </c>
      <c r="E64" s="29">
        <v>315674</v>
      </c>
    </row>
    <row r="65" spans="1:5" ht="15.75" customHeight="1" x14ac:dyDescent="0.25">
      <c r="A65" s="20"/>
      <c r="B65" s="19" t="s">
        <v>285</v>
      </c>
      <c r="C65" s="21"/>
      <c r="D65" s="21"/>
      <c r="E65" s="28">
        <v>867473</v>
      </c>
    </row>
    <row r="66" spans="1:5" ht="15.75" customHeight="1" x14ac:dyDescent="0.25">
      <c r="A66" s="20"/>
      <c r="B66" s="19" t="s">
        <v>302</v>
      </c>
      <c r="C66" s="19" t="s">
        <v>51</v>
      </c>
      <c r="D66" s="19" t="s">
        <v>1088</v>
      </c>
      <c r="E66" s="28">
        <v>549890</v>
      </c>
    </row>
    <row r="67" spans="1:5" ht="15.75" customHeight="1" x14ac:dyDescent="0.25">
      <c r="A67" s="20"/>
      <c r="B67" s="19" t="s">
        <v>312</v>
      </c>
      <c r="C67" s="21"/>
      <c r="D67" s="21"/>
      <c r="E67" s="28">
        <v>549890</v>
      </c>
    </row>
    <row r="68" spans="1:5" ht="15.75" customHeight="1" x14ac:dyDescent="0.25">
      <c r="A68" s="19" t="s">
        <v>350</v>
      </c>
      <c r="B68" s="21"/>
      <c r="C68" s="21"/>
      <c r="D68" s="21"/>
      <c r="E68" s="28">
        <v>2364644</v>
      </c>
    </row>
    <row r="69" spans="1:5" ht="15.75" customHeight="1" x14ac:dyDescent="0.25">
      <c r="A69" s="19" t="s">
        <v>11</v>
      </c>
      <c r="B69" s="19" t="s">
        <v>367</v>
      </c>
      <c r="C69" s="19" t="s">
        <v>58</v>
      </c>
      <c r="D69" s="19" t="s">
        <v>1091</v>
      </c>
      <c r="E69" s="28">
        <v>525214</v>
      </c>
    </row>
    <row r="70" spans="1:5" ht="15.75" customHeight="1" x14ac:dyDescent="0.25">
      <c r="A70" s="20"/>
      <c r="B70" s="19" t="s">
        <v>376</v>
      </c>
      <c r="C70" s="21"/>
      <c r="D70" s="21"/>
      <c r="E70" s="28">
        <v>525214</v>
      </c>
    </row>
    <row r="71" spans="1:5" ht="15.75" customHeight="1" x14ac:dyDescent="0.25">
      <c r="A71" s="19" t="s">
        <v>377</v>
      </c>
      <c r="B71" s="21"/>
      <c r="C71" s="21"/>
      <c r="D71" s="21"/>
      <c r="E71" s="28">
        <v>525214</v>
      </c>
    </row>
    <row r="72" spans="1:5" ht="15.75" customHeight="1" x14ac:dyDescent="0.25">
      <c r="A72" s="23" t="s">
        <v>1096</v>
      </c>
      <c r="B72" s="24"/>
      <c r="C72" s="24"/>
      <c r="D72" s="24"/>
      <c r="E72" s="30">
        <v>11437493</v>
      </c>
    </row>
    <row r="73" spans="1:5" ht="15.75" customHeight="1" x14ac:dyDescent="0.25">
      <c r="A73" s="6"/>
      <c r="B73" s="7"/>
      <c r="C73" s="7"/>
      <c r="D73" s="7"/>
      <c r="E73" s="16"/>
    </row>
    <row r="74" spans="1:5" ht="15.75" customHeight="1" x14ac:dyDescent="0.25"/>
    <row r="75" spans="1:5" ht="15.75" customHeight="1" x14ac:dyDescent="0.25"/>
    <row r="76" spans="1:5" ht="15.75" customHeight="1" x14ac:dyDescent="0.25"/>
    <row r="77" spans="1:5" ht="15.75" customHeight="1" x14ac:dyDescent="0.25"/>
    <row r="78" spans="1:5" ht="15.75" customHeight="1" x14ac:dyDescent="0.25"/>
    <row r="79" spans="1:5" ht="15.75" customHeight="1" x14ac:dyDescent="0.25"/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A24" xr:uid="{00000000-0009-0000-0000-000003000000}"/>
  <mergeCells count="1">
    <mergeCell ref="B27:C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TD</vt:lpstr>
      <vt:lpstr>TD.</vt:lpstr>
      <vt:lpstr>Worksheet</vt:lpstr>
      <vt:lpstr>COMISIONES 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Nomina</cp:lastModifiedBy>
  <dcterms:created xsi:type="dcterms:W3CDTF">2026-06-04T22:15:25Z</dcterms:created>
  <dcterms:modified xsi:type="dcterms:W3CDTF">2026-06-12T16:37:06Z</dcterms:modified>
</cp:coreProperties>
</file>